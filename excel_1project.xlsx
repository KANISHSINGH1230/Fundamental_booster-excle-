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AI_ML projects\Excel_Assignment\"/>
    </mc:Choice>
  </mc:AlternateContent>
  <xr:revisionPtr revIDLastSave="0" documentId="13_ncr:1_{CE3A84EC-A501-4FBF-BD41-A7F6ECF194A5}" xr6:coauthVersionLast="47" xr6:coauthVersionMax="47" xr10:uidLastSave="{00000000-0000-0000-0000-000000000000}"/>
  <bookViews>
    <workbookView xWindow="-108" yWindow="-108" windowWidth="23256" windowHeight="12456" activeTab="3" xr2:uid="{E3990ACD-DDA9-40DA-8035-A17DAD515489}"/>
  </bookViews>
  <sheets>
    <sheet name="Project Instructions" sheetId="4" r:id="rId1"/>
    <sheet name="Students" sheetId="1" r:id="rId2"/>
    <sheet name="Sales" sheetId="3" r:id="rId3"/>
    <sheet name="Employee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2" l="1"/>
  <c r="N4" i="2"/>
  <c r="N5" i="2"/>
  <c r="N6" i="2"/>
  <c r="N7" i="2"/>
  <c r="N8" i="2"/>
  <c r="N9" i="2"/>
  <c r="N10" i="2"/>
  <c r="N11" i="2"/>
  <c r="N12" i="2"/>
  <c r="N13" i="2"/>
  <c r="N14" i="2"/>
  <c r="N15" i="2"/>
  <c r="N16" i="2"/>
  <c r="N17" i="2"/>
  <c r="N18" i="2"/>
  <c r="N19" i="2"/>
  <c r="N20" i="2"/>
  <c r="N21" i="2"/>
  <c r="N2" i="2"/>
  <c r="M3" i="2"/>
  <c r="M4" i="2"/>
  <c r="M5" i="2"/>
  <c r="M6" i="2"/>
  <c r="M7" i="2"/>
  <c r="M8" i="2"/>
  <c r="M9" i="2"/>
  <c r="M10" i="2"/>
  <c r="M11" i="2"/>
  <c r="M12" i="2"/>
  <c r="M13" i="2"/>
  <c r="M14" i="2"/>
  <c r="M15" i="2"/>
  <c r="M16" i="2"/>
  <c r="M17" i="2"/>
  <c r="M18" i="2"/>
  <c r="M19" i="2"/>
  <c r="M20" i="2"/>
  <c r="M21" i="2"/>
  <c r="M2" i="2"/>
  <c r="L7" i="2"/>
  <c r="L8" i="2"/>
  <c r="L9" i="2"/>
  <c r="L10" i="2"/>
  <c r="L11" i="2"/>
  <c r="L12" i="2"/>
  <c r="L13" i="2"/>
  <c r="L14" i="2"/>
  <c r="L15" i="2"/>
  <c r="L16" i="2"/>
  <c r="L17" i="2"/>
  <c r="L18" i="2"/>
  <c r="L19" i="2"/>
  <c r="L20" i="2"/>
  <c r="L21" i="2"/>
  <c r="L3" i="2"/>
  <c r="L4" i="2"/>
  <c r="L5" i="2"/>
  <c r="L6" i="2"/>
  <c r="L2" i="2"/>
  <c r="L10" i="3"/>
  <c r="P5" i="2"/>
  <c r="M28" i="1"/>
  <c r="L7" i="3"/>
  <c r="G3" i="3" a="1"/>
  <c r="G3" i="3" s="1"/>
  <c r="J10" i="3"/>
  <c r="G21" i="3" a="1"/>
  <c r="G21" i="3" s="1"/>
  <c r="G20" i="3" a="1"/>
  <c r="G20" i="3" s="1"/>
  <c r="G19" i="3" a="1"/>
  <c r="G19" i="3" s="1"/>
  <c r="G18" i="3" a="1"/>
  <c r="G18" i="3" s="1"/>
  <c r="G17" i="3" a="1"/>
  <c r="G17" i="3" s="1"/>
  <c r="G16" i="3" a="1"/>
  <c r="G16" i="3" s="1"/>
  <c r="G15" i="3" a="1"/>
  <c r="G15" i="3" s="1"/>
  <c r="G14" i="3" a="1"/>
  <c r="G14" i="3"/>
  <c r="G13" i="3" a="1"/>
  <c r="G13" i="3" s="1"/>
  <c r="G12" i="3" a="1"/>
  <c r="G12" i="3" s="1"/>
  <c r="G11" i="3" a="1"/>
  <c r="G11" i="3" s="1"/>
  <c r="G10" i="3" a="1"/>
  <c r="G10" i="3" s="1"/>
  <c r="G9" i="3" a="1"/>
  <c r="G9" i="3"/>
  <c r="G8" i="3" a="1"/>
  <c r="G8" i="3" s="1"/>
  <c r="G7" i="3" a="1"/>
  <c r="G7" i="3"/>
  <c r="G6" i="3" a="1"/>
  <c r="G6" i="3"/>
  <c r="G5" i="3" a="1"/>
  <c r="G5" i="3" s="1"/>
  <c r="G4" i="3" a="1"/>
  <c r="G4" i="3" s="1"/>
  <c r="G2" i="3" a="1"/>
  <c r="G2" i="3" s="1"/>
  <c r="K7" i="2"/>
  <c r="K6" i="2"/>
  <c r="K5" i="2"/>
  <c r="K4" i="2"/>
  <c r="K21" i="2"/>
  <c r="K20" i="2"/>
  <c r="K19" i="2"/>
  <c r="K18" i="2"/>
  <c r="K17" i="2"/>
  <c r="K16" i="2"/>
  <c r="K15" i="2"/>
  <c r="K14" i="2"/>
  <c r="K13" i="2"/>
  <c r="K12" i="2"/>
  <c r="K11" i="2"/>
  <c r="K10" i="2"/>
  <c r="K9" i="2"/>
  <c r="K8" i="2"/>
  <c r="K3" i="2"/>
  <c r="J5" i="2"/>
  <c r="J2" i="2"/>
  <c r="K2" i="2"/>
  <c r="L4" i="3"/>
  <c r="N21" i="1"/>
  <c r="N20" i="1"/>
  <c r="N19" i="1"/>
  <c r="N18" i="1"/>
  <c r="N17" i="1"/>
  <c r="N16" i="1"/>
  <c r="N15" i="1"/>
  <c r="N14" i="1"/>
  <c r="N13" i="1"/>
  <c r="N12" i="1"/>
  <c r="N11" i="1"/>
  <c r="N10" i="1"/>
  <c r="N9" i="1"/>
  <c r="N8" i="1"/>
  <c r="N5" i="1"/>
  <c r="N4" i="1"/>
  <c r="N3" i="1"/>
  <c r="N2" i="1"/>
  <c r="N6" i="1"/>
  <c r="N7" i="1"/>
  <c r="J2" i="1"/>
  <c r="M3" i="1"/>
  <c r="M4" i="1"/>
  <c r="M5" i="1"/>
  <c r="M6" i="1"/>
  <c r="M7" i="1"/>
  <c r="M8" i="1"/>
  <c r="M9" i="1"/>
  <c r="M10" i="1"/>
  <c r="M11" i="1"/>
  <c r="M12" i="1"/>
  <c r="M13" i="1"/>
  <c r="M14" i="1"/>
  <c r="M15" i="1"/>
  <c r="M16" i="1"/>
  <c r="M17" i="1"/>
  <c r="M18" i="1"/>
  <c r="M19" i="1"/>
  <c r="M20" i="1"/>
  <c r="M21" i="1"/>
  <c r="L2" i="1"/>
  <c r="L3" i="1"/>
  <c r="L4" i="1"/>
  <c r="L5" i="1"/>
  <c r="L6" i="1"/>
  <c r="L7" i="1"/>
  <c r="L8" i="1"/>
  <c r="L9" i="1"/>
  <c r="L10" i="1"/>
  <c r="L11" i="1"/>
  <c r="L12" i="1"/>
  <c r="L13" i="1"/>
  <c r="L14" i="1"/>
  <c r="L15" i="1"/>
  <c r="L16" i="1"/>
  <c r="L17" i="1"/>
  <c r="L18" i="1"/>
  <c r="L19" i="1"/>
  <c r="L20" i="1"/>
  <c r="L21" i="1"/>
  <c r="K3" i="1"/>
  <c r="K4" i="1"/>
  <c r="K5" i="1"/>
  <c r="K6" i="1"/>
  <c r="K7" i="1"/>
  <c r="K8" i="1"/>
  <c r="K9" i="1"/>
  <c r="K10" i="1"/>
  <c r="K11" i="1"/>
  <c r="K12" i="1"/>
  <c r="K13" i="1"/>
  <c r="K14" i="1"/>
  <c r="K15" i="1"/>
  <c r="K16" i="1"/>
  <c r="K17" i="1"/>
  <c r="K18" i="1"/>
  <c r="K19" i="1"/>
  <c r="K20" i="1"/>
  <c r="K21" i="1"/>
  <c r="J7" i="2"/>
  <c r="J8" i="2"/>
  <c r="J21" i="2"/>
  <c r="J20" i="2"/>
  <c r="J19" i="2"/>
  <c r="J18" i="2"/>
  <c r="J17" i="2"/>
  <c r="J16" i="2"/>
  <c r="J15" i="2"/>
  <c r="J14" i="2"/>
  <c r="J13" i="2"/>
  <c r="J12" i="2"/>
  <c r="J11" i="2"/>
  <c r="J10" i="2"/>
  <c r="J9" i="2"/>
  <c r="J6" i="2"/>
  <c r="J4" i="2"/>
  <c r="J3" i="2"/>
  <c r="I2" i="2"/>
  <c r="I3" i="2"/>
  <c r="I4" i="2"/>
  <c r="I5" i="2"/>
  <c r="I6" i="2"/>
  <c r="I7" i="2"/>
  <c r="I8" i="2"/>
  <c r="I9" i="2"/>
  <c r="I10" i="2"/>
  <c r="I11" i="2"/>
  <c r="I12" i="2"/>
  <c r="I13" i="2"/>
  <c r="I14" i="2"/>
  <c r="I15" i="2"/>
  <c r="I16" i="2"/>
  <c r="I17" i="2"/>
  <c r="I18" i="2"/>
  <c r="I19" i="2"/>
  <c r="I20" i="2"/>
  <c r="I21" i="2"/>
  <c r="H3" i="2"/>
  <c r="H4" i="2"/>
  <c r="H5" i="2"/>
  <c r="H6" i="2"/>
  <c r="H7" i="2"/>
  <c r="H8" i="2"/>
  <c r="H9" i="2"/>
  <c r="H10" i="2"/>
  <c r="H11" i="2"/>
  <c r="H12" i="2"/>
  <c r="H13" i="2"/>
  <c r="H14" i="2"/>
  <c r="H15" i="2"/>
  <c r="H16" i="2"/>
  <c r="H17" i="2"/>
  <c r="H18" i="2"/>
  <c r="H19" i="2"/>
  <c r="H20" i="2"/>
  <c r="H21" i="2"/>
  <c r="H2" i="2"/>
  <c r="G3" i="2"/>
  <c r="G4" i="2"/>
  <c r="G5" i="2"/>
  <c r="G6" i="2"/>
  <c r="G7" i="2"/>
  <c r="G8" i="2"/>
  <c r="G9" i="2"/>
  <c r="G10" i="2"/>
  <c r="G11" i="2"/>
  <c r="G12" i="2"/>
  <c r="G13" i="2"/>
  <c r="G14" i="2"/>
  <c r="G15" i="2"/>
  <c r="G16" i="2"/>
  <c r="G17" i="2"/>
  <c r="G18" i="2"/>
  <c r="G19" i="2"/>
  <c r="G20" i="2"/>
  <c r="G21" i="2"/>
  <c r="G2" i="2"/>
  <c r="F3" i="2"/>
  <c r="F4" i="2"/>
  <c r="F5" i="2"/>
  <c r="F6" i="2"/>
  <c r="F7" i="2"/>
  <c r="F8" i="2"/>
  <c r="F9" i="2"/>
  <c r="F10" i="2"/>
  <c r="F11" i="2"/>
  <c r="F12" i="2"/>
  <c r="F13" i="2"/>
  <c r="F14" i="2"/>
  <c r="F15" i="2"/>
  <c r="F16" i="2"/>
  <c r="F17" i="2"/>
  <c r="F18" i="2"/>
  <c r="F19" i="2"/>
  <c r="F20" i="2"/>
  <c r="F21" i="2"/>
  <c r="F22" i="2"/>
  <c r="F23" i="2"/>
  <c r="F2" i="2"/>
  <c r="J4" i="3"/>
  <c r="J7" i="3"/>
  <c r="M2" i="1"/>
  <c r="K2" i="1"/>
  <c r="J3" i="1"/>
  <c r="J4" i="1"/>
  <c r="J5" i="1"/>
  <c r="J6" i="1"/>
  <c r="J7" i="1"/>
  <c r="J8" i="1"/>
  <c r="J9" i="1"/>
  <c r="J10" i="1"/>
  <c r="J11" i="1"/>
  <c r="J12" i="1"/>
  <c r="J13" i="1"/>
  <c r="J14" i="1"/>
  <c r="J15" i="1"/>
  <c r="J16" i="1"/>
  <c r="J17" i="1"/>
  <c r="J18" i="1"/>
  <c r="J19" i="1"/>
  <c r="J20" i="1"/>
  <c r="J21" i="1"/>
  <c r="H2" i="1"/>
  <c r="H3" i="1"/>
  <c r="I3" i="1" s="1"/>
  <c r="H4" i="1"/>
  <c r="I4" i="1" s="1"/>
  <c r="H5" i="1"/>
  <c r="I5" i="1" s="1"/>
  <c r="H6" i="1"/>
  <c r="I6" i="1" s="1"/>
  <c r="H7" i="1"/>
  <c r="I7" i="1" s="1"/>
  <c r="H8" i="1"/>
  <c r="I8" i="1" s="1"/>
  <c r="H9" i="1"/>
  <c r="I9"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G21" i="1"/>
  <c r="G3" i="1"/>
  <c r="G4" i="1"/>
  <c r="G5" i="1"/>
  <c r="G6" i="1"/>
  <c r="G7" i="1"/>
  <c r="G8" i="1"/>
  <c r="G9" i="1"/>
  <c r="G10" i="1"/>
  <c r="G11" i="1"/>
  <c r="G12" i="1"/>
  <c r="G13" i="1"/>
  <c r="G14" i="1"/>
  <c r="G15" i="1"/>
  <c r="G16" i="1"/>
  <c r="G17" i="1"/>
  <c r="G18" i="1"/>
  <c r="G19" i="1"/>
  <c r="G20" i="1"/>
  <c r="G2" i="1"/>
  <c r="I2" i="1" l="1"/>
  <c r="A28" i="1" s="1" a="1"/>
  <c r="A2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<sst xmlns="http://schemas.openxmlformats.org/spreadsheetml/2006/main" count="205" uniqueCount="115">
  <si>
    <t>Student ID</t>
  </si>
  <si>
    <t>Name</t>
  </si>
  <si>
    <t>Math</t>
  </si>
  <si>
    <t>Science</t>
  </si>
  <si>
    <t>English</t>
  </si>
  <si>
    <t>Enrollment Date</t>
  </si>
  <si>
    <t>Grade</t>
  </si>
  <si>
    <t>Above 80 in Math &amp; Science</t>
  </si>
  <si>
    <t>Total</t>
  </si>
  <si>
    <t>Average</t>
  </si>
  <si>
    <t>Students Above 50 in Maths</t>
  </si>
  <si>
    <t>UPPER function</t>
  </si>
  <si>
    <t>LOWER function</t>
  </si>
  <si>
    <t>Anuradha Prajapati</t>
  </si>
  <si>
    <t>Punit Mishra</t>
  </si>
  <si>
    <t>Yashraj Sharma</t>
  </si>
  <si>
    <t>Amit Maharana</t>
  </si>
  <si>
    <t>Abhiraj Sharma</t>
  </si>
  <si>
    <t>Vaibhavraj Sharma</t>
  </si>
  <si>
    <t>Sugam Pradhan</t>
  </si>
  <si>
    <t>Prabhat Pandey</t>
  </si>
  <si>
    <t>Deepak Paswan</t>
  </si>
  <si>
    <t>Keshav Singh</t>
  </si>
  <si>
    <t>Kashyap Verma</t>
  </si>
  <si>
    <t>Virat Kohli</t>
  </si>
  <si>
    <t>Mrunal Thakur</t>
  </si>
  <si>
    <t>Sadgi Pandey</t>
  </si>
  <si>
    <t>Aarav Pandey</t>
  </si>
  <si>
    <t>Dhaval Prajapati</t>
  </si>
  <si>
    <t>Yogesh Prajapati</t>
  </si>
  <si>
    <t>Mahesh Chaubey</t>
  </si>
  <si>
    <t>Sarish kharwar</t>
  </si>
  <si>
    <t>Sarvesh Mishra</t>
  </si>
  <si>
    <t>First Name</t>
  </si>
  <si>
    <t>Top  Student's</t>
  </si>
  <si>
    <t>Sales ID</t>
  </si>
  <si>
    <t>Product</t>
  </si>
  <si>
    <t>Region</t>
  </si>
  <si>
    <t>Salesperson</t>
  </si>
  <si>
    <t>Amount</t>
  </si>
  <si>
    <t>Date</t>
  </si>
  <si>
    <t>Keyboard</t>
  </si>
  <si>
    <t>Mouse</t>
  </si>
  <si>
    <t xml:space="preserve">Printer </t>
  </si>
  <si>
    <t>Laptop</t>
  </si>
  <si>
    <t>Monitor</t>
  </si>
  <si>
    <t>South</t>
  </si>
  <si>
    <t>West</t>
  </si>
  <si>
    <t>North</t>
  </si>
  <si>
    <t>East</t>
  </si>
  <si>
    <t>SUMIFS(Keyboard Sales in South)</t>
  </si>
  <si>
    <t>COUNTIFS(Count Keyboard sales)</t>
  </si>
  <si>
    <t>VLOOKUP(Mouse Price Search)</t>
  </si>
  <si>
    <t>XMATCH</t>
  </si>
  <si>
    <t>Employee ID</t>
  </si>
  <si>
    <t>Department</t>
  </si>
  <si>
    <t>Salary</t>
  </si>
  <si>
    <t>Joining Date</t>
  </si>
  <si>
    <t>Finance</t>
  </si>
  <si>
    <t>HR</t>
  </si>
  <si>
    <t>IT</t>
  </si>
  <si>
    <t>Marketing</t>
  </si>
  <si>
    <t>UPPER</t>
  </si>
  <si>
    <t>LOWER</t>
  </si>
  <si>
    <t>Experience(Years)</t>
  </si>
  <si>
    <t>Working Day's Analysis</t>
  </si>
  <si>
    <t>Dynamic Employee Detail</t>
  </si>
  <si>
    <t>INDIRECT Function</t>
  </si>
  <si>
    <t>XLOOKUP(  Employee  Salary)</t>
  </si>
  <si>
    <t>OFFSET Function</t>
  </si>
  <si>
    <t>VLOOKUP(Student Name by ID)</t>
  </si>
  <si>
    <t>INDEX+MATCH(Salesperson Sales)</t>
  </si>
  <si>
    <t>XLOOKUP(Salesperson Performance)</t>
  </si>
  <si>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</si>
  <si>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</si>
  <si>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</si>
  <si>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</si>
  <si>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</si>
  <si>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</si>
  <si>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</si>
  <si>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</si>
  <si>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</si>
  <si>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</si>
  <si>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</si>
  <si>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</si>
  <si>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</si>
  <si>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</si>
  <si>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</si>
  <si>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</si>
  <si>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</si>
  <si>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</si>
  <si>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</si>
  <si>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</si>
  <si>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</si>
  <si>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</si>
  <si>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</si>
  <si>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</si>
  <si>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</si>
  <si>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</si>
  <si>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</si>
  <si>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</si>
  <si>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</si>
  <si>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</si>
  <si>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Dynamically reference a cell range using INDIRECT.</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</si>
  <si>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</si>
  <si>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</si>
  <si>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</si>
  <si>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</si>
  <si>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</si>
  <si>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</si>
  <si>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</si>
  <si>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</si>
  <si>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Round</t>
  </si>
  <si>
    <t>Ceiling</t>
  </si>
  <si>
    <t>Floor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</si>
</sst>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6">
    <font>
      <sz val="11"/>
      <color theme="1"/>
      <name val="Aptos Narrow"/>
      <family val="2"/>
      <scheme val="minor"/>
    </font>
    <font>
      <b/>
      <sz val="11"/>
      <color theme="1"/>
      <name val="Aptos Narrow"/>
      <family val="2"/>
      <scheme val="minor"/>
    </font>
    <font>
      <sz val="14"/>
      <color theme="1"/>
      <name val="Times New Roman"/>
      <family val="1"/>
    </font>
    <font>
      <sz val="11"/>
      <color theme="1"/>
      <name val="Aptos Narrow"/>
      <family val="2"/>
      <scheme val="minor"/>
    </font>
    <font>
      <sz val="11"/>
      <color theme="1"/>
      <name val="Times New Roman"/>
      <family val="1"/>
    </font>
    <font>
      <b/>
      <sz val="12"/>
      <color rgb="FF000000"/>
      <name val="Times New Roman"/>
      <family val="1"/>
    </font>
    <font>
      <sz val="12"/>
      <color theme="1"/>
      <name val="Times New Roman"/>
      <family val="1"/>
    </font>
    <font>
      <b/>
      <sz val="12"/>
      <color theme="1"/>
      <name val="Times New Roman"/>
      <family val="1"/>
    </font>
    <font>
      <sz val="12"/>
      <color rgb="FF000000"/>
      <name val="Times New Roman"/>
      <family val="1"/>
    </font>
    <font>
      <b/>
      <sz val="11"/>
      <color theme="1"/>
      <name val="Calibri"/>
      <family val="2"/>
    </font>
    <font>
      <sz val="11"/>
      <color theme="1"/>
      <name val="Calibri"/>
      <family val="2"/>
    </font>
    <font>
      <sz val="11"/>
      <color rgb="FF000000"/>
      <name val="Calibri"/>
      <family val="2"/>
    </font>
    <font>
      <b/>
      <sz val="11"/>
      <color rgb="FF000000"/>
      <name val="Calibri, sans-serif"/>
    </font>
    <font>
      <sz val="11"/>
      <color rgb="FF000000"/>
      <name val="Calibri, sans-serif"/>
    </font>
    <font>
      <b/>
      <sz val="11"/>
      <color rgb="FF38761D"/>
      <name val="Calibri, sans-serif"/>
    </font>
    <font>
      <sz val="11"/>
      <color rgb="FF38761D"/>
      <name val="Calibri, sans-serif"/>
    </font>
  </fonts>
  <fills count="9">
    <fill>
      <patternFill patternType="none"/>
    </fill>
    <fill>
      <patternFill patternType="gray125"/>
    </fill>
    <fill>
      <patternFill patternType="solid">
        <fgColor theme="3" tint="0.749992370372631"/>
        <bgColor indexed="64"/>
      </patternFill>
    </fill>
    <fill>
      <patternFill patternType="solid">
        <fgColor rgb="FF92D050"/>
        <bgColor indexed="64"/>
      </patternFill>
    </fill>
    <fill>
      <patternFill patternType="solid">
        <fgColor rgb="FFFFFF00"/>
        <bgColor indexed="64"/>
      </patternFill>
    </fill>
    <fill>
      <patternFill patternType="solid">
        <fgColor theme="4" tint="0.59999389629810485"/>
        <bgColor rgb="FFFFF2CC"/>
      </patternFill>
    </fill>
    <fill>
      <patternFill patternType="solid">
        <fgColor theme="4" tint="0.59999389629810485"/>
        <bgColor indexed="64"/>
      </patternFill>
    </fill>
    <fill>
      <patternFill patternType="solid">
        <fgColor rgb="FFFFF2CC"/>
        <bgColor rgb="FFFFF2CC"/>
      </patternFill>
    </fill>
    <fill>
      <patternFill patternType="solid">
        <fgColor theme="7"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44" fontId="3" fillId="0" borderId="0" applyFont="0" applyFill="0" applyBorder="0" applyAlignment="0" applyProtection="0"/>
  </cellStyleXfs>
  <cellXfs count="30">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14" fontId="0" fillId="0" borderId="1" xfId="0" applyNumberFormat="1" applyBorder="1" applyAlignment="1">
      <alignment horizontal="center"/>
    </xf>
    <xf numFmtId="0" fontId="0" fillId="0" borderId="0" xfId="0" applyAlignment="1">
      <alignment horizontal="center"/>
    </xf>
    <xf numFmtId="0" fontId="0" fillId="2" borderId="1" xfId="0" applyFill="1" applyBorder="1" applyAlignment="1">
      <alignment horizontal="center"/>
    </xf>
    <xf numFmtId="2" fontId="0" fillId="0" borderId="1" xfId="0" applyNumberFormat="1" applyBorder="1" applyAlignment="1">
      <alignment horizontal="center"/>
    </xf>
    <xf numFmtId="0" fontId="1" fillId="3" borderId="1" xfId="0" applyFont="1" applyFill="1" applyBorder="1" applyAlignment="1">
      <alignment horizontal="center"/>
    </xf>
    <xf numFmtId="14" fontId="0" fillId="0" borderId="0" xfId="0" applyNumberFormat="1"/>
    <xf numFmtId="0" fontId="1" fillId="2" borderId="1" xfId="0" applyFont="1" applyFill="1" applyBorder="1" applyAlignment="1">
      <alignment horizontal="center" vertical="center" wrapText="1"/>
    </xf>
    <xf numFmtId="0" fontId="4" fillId="0" borderId="1" xfId="0" applyFont="1" applyBorder="1" applyAlignment="1">
      <alignment horizontal="center"/>
    </xf>
    <xf numFmtId="0" fontId="6" fillId="0" borderId="1" xfId="0" applyFont="1" applyBorder="1" applyAlignment="1">
      <alignment horizontal="center"/>
    </xf>
    <xf numFmtId="0" fontId="6" fillId="0" borderId="0" xfId="0" applyFont="1" applyAlignment="1">
      <alignment horizontal="center"/>
    </xf>
    <xf numFmtId="0" fontId="4" fillId="4" borderId="1" xfId="0" applyFont="1" applyFill="1" applyBorder="1" applyAlignment="1">
      <alignment horizontal="center"/>
    </xf>
    <xf numFmtId="0" fontId="8" fillId="0" borderId="1" xfId="0" applyFont="1" applyBorder="1" applyAlignment="1">
      <alignment horizontal="center" vertical="center"/>
    </xf>
    <xf numFmtId="44" fontId="8" fillId="0" borderId="1" xfId="1" applyFont="1" applyBorder="1" applyAlignment="1">
      <alignment horizontal="center" vertical="center"/>
    </xf>
    <xf numFmtId="14" fontId="6" fillId="0" borderId="1" xfId="0" applyNumberFormat="1" applyFont="1" applyBorder="1" applyAlignment="1">
      <alignment horizontal="center"/>
    </xf>
    <xf numFmtId="2" fontId="6" fillId="0" borderId="1" xfId="0" applyNumberFormat="1" applyFont="1" applyBorder="1" applyAlignment="1">
      <alignment horizontal="center"/>
    </xf>
    <xf numFmtId="0" fontId="5" fillId="5" borderId="1" xfId="0" applyFont="1" applyFill="1" applyBorder="1" applyAlignment="1">
      <alignment horizontal="center" vertical="center"/>
    </xf>
    <xf numFmtId="0" fontId="6" fillId="6" borderId="1" xfId="0" applyFont="1" applyFill="1" applyBorder="1" applyAlignment="1">
      <alignment horizontal="center"/>
    </xf>
    <xf numFmtId="0" fontId="7" fillId="6" borderId="1" xfId="0" applyFont="1" applyFill="1" applyBorder="1" applyAlignment="1">
      <alignment horizontal="center"/>
    </xf>
    <xf numFmtId="0" fontId="2" fillId="2" borderId="2" xfId="0" applyFont="1" applyFill="1" applyBorder="1" applyAlignment="1">
      <alignment horizontal="center"/>
    </xf>
    <xf numFmtId="0" fontId="0" fillId="0" borderId="1" xfId="0" applyBorder="1"/>
    <xf numFmtId="0" fontId="9" fillId="7" borderId="3" xfId="0" applyFont="1" applyFill="1" applyBorder="1" applyAlignment="1">
      <alignment horizontal="center" vertical="center"/>
    </xf>
    <xf numFmtId="0" fontId="10" fillId="0" borderId="0" xfId="0" applyFont="1" applyAlignment="1">
      <alignment vertical="center"/>
    </xf>
    <xf numFmtId="0" fontId="11" fillId="0" borderId="3" xfId="0" applyFont="1" applyBorder="1" applyAlignment="1">
      <alignment vertical="center"/>
    </xf>
    <xf numFmtId="0" fontId="9" fillId="0" borderId="3" xfId="0" applyFont="1" applyBorder="1" applyAlignment="1">
      <alignment vertical="center"/>
    </xf>
    <xf numFmtId="0" fontId="10" fillId="0" borderId="3" xfId="0" applyFont="1" applyBorder="1" applyAlignment="1">
      <alignment vertical="center"/>
    </xf>
    <xf numFmtId="44" fontId="0" fillId="0" borderId="1" xfId="0" applyNumberFormat="1" applyBorder="1"/>
    <xf numFmtId="0" fontId="0" fillId="8" borderId="1" xfId="0" applyFill="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9AFA5-4ED7-4F3C-B56F-E3978B5B48D8}">
  <dimension ref="A1:Z256"/>
  <sheetViews>
    <sheetView zoomScale="109" workbookViewId="0">
      <selection activeCell="I15" sqref="I15"/>
    </sheetView>
  </sheetViews>
  <sheetFormatPr defaultRowHeight="14.4"/>
  <cols>
    <col min="1" max="1" width="69.5546875" customWidth="1"/>
  </cols>
  <sheetData>
    <row r="1" spans="1:26">
      <c r="A1" s="23" t="s">
        <v>73</v>
      </c>
      <c r="B1" s="24"/>
      <c r="C1" s="24"/>
      <c r="D1" s="24"/>
      <c r="E1" s="24"/>
      <c r="F1" s="24"/>
      <c r="G1" s="24"/>
      <c r="H1" s="24"/>
      <c r="I1" s="24"/>
      <c r="J1" s="24"/>
      <c r="K1" s="24"/>
      <c r="L1" s="24"/>
      <c r="M1" s="24"/>
      <c r="N1" s="24"/>
      <c r="O1" s="24"/>
      <c r="P1" s="24"/>
      <c r="Q1" s="24"/>
      <c r="R1" s="24"/>
      <c r="S1" s="24"/>
      <c r="T1" s="24"/>
      <c r="U1" s="24"/>
      <c r="V1" s="24"/>
      <c r="W1" s="24"/>
      <c r="X1" s="24"/>
      <c r="Y1" s="24"/>
      <c r="Z1" s="24"/>
    </row>
    <row r="2" spans="1:26">
      <c r="A2" s="25" t="s">
        <v>74</v>
      </c>
      <c r="B2" s="24"/>
      <c r="C2" s="24"/>
      <c r="D2" s="24"/>
      <c r="E2" s="24"/>
      <c r="F2" s="24"/>
      <c r="G2" s="24"/>
      <c r="H2" s="24"/>
      <c r="I2" s="24"/>
      <c r="J2" s="24"/>
      <c r="K2" s="24"/>
      <c r="L2" s="24"/>
      <c r="M2" s="24"/>
      <c r="N2" s="24"/>
      <c r="O2" s="24"/>
      <c r="P2" s="24"/>
      <c r="Q2" s="24"/>
      <c r="R2" s="24"/>
      <c r="S2" s="24"/>
      <c r="T2" s="24"/>
      <c r="U2" s="24"/>
      <c r="V2" s="24"/>
      <c r="W2" s="24"/>
      <c r="X2" s="24"/>
      <c r="Y2" s="24"/>
      <c r="Z2" s="24"/>
    </row>
    <row r="3" spans="1:26">
      <c r="A3" s="24"/>
      <c r="B3" s="24"/>
      <c r="C3" s="24"/>
      <c r="D3" s="24"/>
      <c r="E3" s="24"/>
      <c r="F3" s="24"/>
      <c r="G3" s="24"/>
      <c r="H3" s="24"/>
      <c r="I3" s="24"/>
      <c r="J3" s="24"/>
      <c r="K3" s="24"/>
      <c r="L3" s="24"/>
      <c r="M3" s="24"/>
      <c r="N3" s="24"/>
      <c r="O3" s="24"/>
      <c r="P3" s="24"/>
      <c r="Q3" s="24"/>
      <c r="R3" s="24"/>
      <c r="S3" s="24"/>
      <c r="T3" s="24"/>
      <c r="U3" s="24"/>
      <c r="V3" s="24"/>
      <c r="W3" s="24"/>
      <c r="X3" s="24"/>
      <c r="Y3" s="24"/>
      <c r="Z3" s="24"/>
    </row>
    <row r="4" spans="1:26">
      <c r="A4" s="24"/>
      <c r="B4" s="24"/>
      <c r="C4" s="24"/>
      <c r="D4" s="24"/>
      <c r="E4" s="24"/>
      <c r="F4" s="24"/>
      <c r="G4" s="24"/>
      <c r="H4" s="24"/>
      <c r="I4" s="24"/>
      <c r="J4" s="24"/>
      <c r="K4" s="24"/>
      <c r="L4" s="24"/>
      <c r="M4" s="24"/>
      <c r="N4" s="24"/>
      <c r="O4" s="24"/>
      <c r="P4" s="24"/>
      <c r="Q4" s="24"/>
      <c r="R4" s="24"/>
      <c r="S4" s="24"/>
      <c r="T4" s="24"/>
      <c r="U4" s="24"/>
      <c r="V4" s="24"/>
      <c r="W4" s="24"/>
      <c r="X4" s="24"/>
      <c r="Y4" s="24"/>
      <c r="Z4" s="24"/>
    </row>
    <row r="5" spans="1:26">
      <c r="A5" s="23" t="s">
        <v>75</v>
      </c>
      <c r="B5" s="24"/>
      <c r="C5" s="24"/>
      <c r="D5" s="24"/>
      <c r="E5" s="24"/>
      <c r="F5" s="24"/>
      <c r="G5" s="24"/>
      <c r="H5" s="24"/>
      <c r="I5" s="24"/>
      <c r="J5" s="24"/>
      <c r="K5" s="24"/>
      <c r="L5" s="24"/>
      <c r="M5" s="24"/>
      <c r="N5" s="24"/>
      <c r="O5" s="24"/>
      <c r="P5" s="24"/>
      <c r="Q5" s="24"/>
      <c r="R5" s="24"/>
      <c r="S5" s="24"/>
      <c r="T5" s="24"/>
      <c r="U5" s="24"/>
      <c r="V5" s="24"/>
      <c r="W5" s="24"/>
      <c r="X5" s="24"/>
      <c r="Y5" s="24"/>
      <c r="Z5" s="24"/>
    </row>
    <row r="6" spans="1:26">
      <c r="A6" s="26" t="s">
        <v>76</v>
      </c>
      <c r="B6" s="24"/>
      <c r="C6" s="24"/>
      <c r="D6" s="24"/>
      <c r="E6" s="24"/>
      <c r="F6" s="24"/>
      <c r="G6" s="24"/>
      <c r="H6" s="24"/>
      <c r="I6" s="24"/>
      <c r="J6" s="24"/>
      <c r="K6" s="24"/>
      <c r="L6" s="24"/>
      <c r="M6" s="24"/>
      <c r="N6" s="24"/>
      <c r="O6" s="24"/>
      <c r="P6" s="24"/>
      <c r="Q6" s="24"/>
      <c r="R6" s="24"/>
      <c r="S6" s="24"/>
      <c r="T6" s="24"/>
      <c r="U6" s="24"/>
      <c r="V6" s="24"/>
      <c r="W6" s="24"/>
      <c r="X6" s="24"/>
      <c r="Y6" s="24"/>
      <c r="Z6" s="24"/>
    </row>
    <row r="7" spans="1:26">
      <c r="A7" s="27" t="s">
        <v>77</v>
      </c>
      <c r="B7" s="24"/>
      <c r="C7" s="24"/>
      <c r="D7" s="24"/>
      <c r="E7" s="24"/>
      <c r="F7" s="24"/>
      <c r="G7" s="24"/>
      <c r="H7" s="24"/>
      <c r="I7" s="24"/>
      <c r="J7" s="24"/>
      <c r="K7" s="24"/>
      <c r="L7" s="24"/>
      <c r="M7" s="24"/>
      <c r="N7" s="24"/>
      <c r="O7" s="24"/>
      <c r="P7" s="24"/>
      <c r="Q7" s="24"/>
      <c r="R7" s="24"/>
      <c r="S7" s="24"/>
      <c r="T7" s="24"/>
      <c r="U7" s="24"/>
      <c r="V7" s="24"/>
      <c r="W7" s="24"/>
      <c r="X7" s="24"/>
      <c r="Y7" s="24"/>
      <c r="Z7" s="24"/>
    </row>
    <row r="8" spans="1:26">
      <c r="A8" s="27" t="s">
        <v>78</v>
      </c>
      <c r="B8" s="24"/>
      <c r="C8" s="24"/>
      <c r="D8" s="24"/>
      <c r="E8" s="24"/>
      <c r="F8" s="24"/>
      <c r="G8" s="24"/>
      <c r="H8" s="24"/>
      <c r="I8" s="24"/>
      <c r="J8" s="24"/>
      <c r="K8" s="24"/>
      <c r="L8" s="24"/>
      <c r="M8" s="24"/>
      <c r="N8" s="24"/>
      <c r="O8" s="24"/>
      <c r="P8" s="24"/>
      <c r="Q8" s="24"/>
      <c r="R8" s="24"/>
      <c r="S8" s="24"/>
      <c r="T8" s="24"/>
      <c r="U8" s="24"/>
      <c r="V8" s="24"/>
      <c r="W8" s="24"/>
      <c r="X8" s="24"/>
      <c r="Y8" s="24"/>
      <c r="Z8" s="24"/>
    </row>
    <row r="9" spans="1:26">
      <c r="A9" s="27"/>
      <c r="B9" s="24"/>
      <c r="C9" s="24"/>
      <c r="D9" s="24"/>
      <c r="E9" s="24"/>
      <c r="F9" s="24"/>
      <c r="G9" s="24"/>
      <c r="H9" s="24"/>
      <c r="I9" s="24"/>
      <c r="J9" s="24"/>
      <c r="K9" s="24"/>
      <c r="L9" s="24"/>
      <c r="M9" s="24"/>
      <c r="N9" s="24"/>
      <c r="O9" s="24"/>
      <c r="P9" s="24"/>
      <c r="Q9" s="24"/>
      <c r="R9" s="24"/>
      <c r="S9" s="24"/>
      <c r="T9" s="24"/>
      <c r="U9" s="24"/>
      <c r="V9" s="24"/>
      <c r="W9" s="24"/>
      <c r="X9" s="24"/>
      <c r="Y9" s="24"/>
      <c r="Z9" s="24"/>
    </row>
    <row r="10" spans="1:26">
      <c r="A10" s="26" t="s">
        <v>79</v>
      </c>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spans="1:26">
      <c r="A11" s="27" t="s">
        <v>80</v>
      </c>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spans="1:26">
      <c r="A12" s="27" t="s">
        <v>81</v>
      </c>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c r="A13" s="27"/>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c r="A14" s="26" t="s">
        <v>82</v>
      </c>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c r="A15" s="27" t="s">
        <v>83</v>
      </c>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c r="A16" s="27" t="s">
        <v>84</v>
      </c>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c r="A17" s="27"/>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spans="1:26">
      <c r="A18" s="26" t="s">
        <v>85</v>
      </c>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spans="1:26">
      <c r="A19" s="27" t="s">
        <v>86</v>
      </c>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spans="1:26">
      <c r="A20" s="27" t="s">
        <v>87</v>
      </c>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spans="1:26">
      <c r="A21" s="27" t="s">
        <v>88</v>
      </c>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spans="1:26">
      <c r="A22" s="27"/>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spans="1:26">
      <c r="A23" s="26" t="s">
        <v>89</v>
      </c>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spans="1:26">
      <c r="A24" s="27" t="s">
        <v>90</v>
      </c>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spans="1:26">
      <c r="A25" s="27" t="s">
        <v>91</v>
      </c>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spans="1:26">
      <c r="A26" s="27"/>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spans="1:26">
      <c r="A27" s="26" t="s">
        <v>92</v>
      </c>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spans="1:26">
      <c r="A28" s="27" t="s">
        <v>93</v>
      </c>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c r="A29" s="27" t="s">
        <v>94</v>
      </c>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spans="1:26">
      <c r="A30" s="27"/>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spans="1:26">
      <c r="A31" s="26" t="s">
        <v>95</v>
      </c>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spans="1:26">
      <c r="A32" s="27" t="s">
        <v>96</v>
      </c>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spans="1:26">
      <c r="A33" s="27" t="s">
        <v>97</v>
      </c>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spans="1:26">
      <c r="A34" s="27"/>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spans="1:26">
      <c r="A35" s="26" t="s">
        <v>98</v>
      </c>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spans="1:26">
      <c r="A36" s="27" t="s">
        <v>99</v>
      </c>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1:26">
      <c r="A37" s="27" t="s">
        <v>100</v>
      </c>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1:26">
      <c r="A38" s="27"/>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1:26">
      <c r="A39" s="26" t="s">
        <v>101</v>
      </c>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1:26">
      <c r="A40" s="27" t="s">
        <v>102</v>
      </c>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1:26">
      <c r="A41" s="27"/>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spans="1:26">
      <c r="A42" s="26" t="s">
        <v>67</v>
      </c>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spans="1:26">
      <c r="A43" s="27" t="s">
        <v>103</v>
      </c>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26">
      <c r="A44" s="27"/>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26">
      <c r="A45" s="26" t="s">
        <v>69</v>
      </c>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26">
      <c r="A46" s="27" t="s">
        <v>104</v>
      </c>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26">
      <c r="A47" s="27"/>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26">
      <c r="A48" s="26" t="s">
        <v>105</v>
      </c>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c r="A49" s="27" t="s">
        <v>106</v>
      </c>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c r="A50" s="27" t="s">
        <v>107</v>
      </c>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c r="A51" s="27"/>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c r="A52" s="26" t="s">
        <v>108</v>
      </c>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c r="A53" s="27" t="s">
        <v>109</v>
      </c>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c r="A54" s="27"/>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c r="A55" s="26" t="s">
        <v>110</v>
      </c>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c r="A56" s="27" t="s">
        <v>111</v>
      </c>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ADA93-A92E-42DC-A288-60A9A7DDB762}">
  <dimension ref="A1:N35"/>
  <sheetViews>
    <sheetView topLeftCell="D13" zoomScale="91" workbookViewId="0">
      <selection activeCell="O1" sqref="O1"/>
    </sheetView>
  </sheetViews>
  <sheetFormatPr defaultRowHeight="14.4"/>
  <cols>
    <col min="1" max="1" width="10.88671875" style="4" customWidth="1"/>
    <col min="2" max="2" width="19.109375" style="4" customWidth="1"/>
    <col min="3" max="5" width="8.88671875" style="4"/>
    <col min="6" max="6" width="14.44140625" style="4" customWidth="1"/>
    <col min="7" max="7" width="8.88671875" style="4"/>
    <col min="8" max="8" width="10.44140625" style="4" customWidth="1"/>
    <col min="9" max="9" width="9.6640625" style="4" customWidth="1"/>
    <col min="10" max="10" width="30.109375" style="4" customWidth="1"/>
    <col min="11" max="11" width="16.6640625" style="4" customWidth="1"/>
    <col min="12" max="12" width="26.88671875" style="4" customWidth="1"/>
    <col min="13" max="13" width="30.44140625" style="4" customWidth="1"/>
    <col min="14" max="14" width="28.6640625" style="4" customWidth="1"/>
    <col min="15" max="15" width="30.109375" style="4" customWidth="1"/>
    <col min="16" max="16" width="17" style="4" customWidth="1"/>
    <col min="17" max="16384" width="8.88671875" style="4"/>
  </cols>
  <sheetData>
    <row r="1" spans="1:14">
      <c r="A1" s="2" t="s">
        <v>0</v>
      </c>
      <c r="B1" s="2" t="s">
        <v>1</v>
      </c>
      <c r="C1" s="2" t="s">
        <v>2</v>
      </c>
      <c r="D1" s="2" t="s">
        <v>3</v>
      </c>
      <c r="E1" s="2" t="s">
        <v>4</v>
      </c>
      <c r="F1" s="2" t="s">
        <v>5</v>
      </c>
      <c r="G1" s="2" t="s">
        <v>8</v>
      </c>
      <c r="H1" s="2" t="s">
        <v>9</v>
      </c>
      <c r="I1" s="2" t="s">
        <v>6</v>
      </c>
      <c r="J1" s="2" t="s">
        <v>7</v>
      </c>
      <c r="K1" s="5" t="s">
        <v>33</v>
      </c>
      <c r="L1" s="5" t="s">
        <v>11</v>
      </c>
      <c r="M1" s="5" t="s">
        <v>12</v>
      </c>
      <c r="N1" s="5" t="s">
        <v>70</v>
      </c>
    </row>
    <row r="2" spans="1:14">
      <c r="A2" s="1">
        <v>1001</v>
      </c>
      <c r="B2" s="1" t="s">
        <v>13</v>
      </c>
      <c r="C2" s="1">
        <v>89</v>
      </c>
      <c r="D2" s="1">
        <v>96</v>
      </c>
      <c r="E2" s="1">
        <v>94</v>
      </c>
      <c r="F2" s="3">
        <v>46169</v>
      </c>
      <c r="G2" s="1">
        <f>C2+D2+E2</f>
        <v>279</v>
      </c>
      <c r="H2" s="6">
        <f>AVERAGE(C2:E2)</f>
        <v>93</v>
      </c>
      <c r="I2" s="1" t="str">
        <f>IF(H2&gt;=90,"A+",IF(H2&gt;=80,"A",IF(H2&gt;=60,"B",IF(H2&gt;=33,"C","Fail"))))</f>
        <v>A+</v>
      </c>
      <c r="J2" s="1" t="str">
        <f>IF(AND(C2&gt;80,D2&gt;80),"Yes","No")</f>
        <v>Yes</v>
      </c>
      <c r="K2" s="1" t="str">
        <f>LEFT(B2,FIND(" ",B2)-1)</f>
        <v>Anuradha</v>
      </c>
      <c r="L2" s="1" t="str">
        <f>UPPER(B2)</f>
        <v>ANURADHA PRAJAPATI</v>
      </c>
      <c r="M2" s="1" t="str">
        <f>LOWER(B2)</f>
        <v>anuradha prajapati</v>
      </c>
      <c r="N2" s="1" t="str">
        <f>VLOOKUP(1001,A2:B21,2,FALSE)</f>
        <v>Anuradha Prajapati</v>
      </c>
    </row>
    <row r="3" spans="1:14">
      <c r="A3" s="1">
        <v>1002</v>
      </c>
      <c r="B3" s="1" t="s">
        <v>15</v>
      </c>
      <c r="C3" s="1">
        <v>95</v>
      </c>
      <c r="D3" s="1">
        <v>98</v>
      </c>
      <c r="E3" s="1">
        <v>96</v>
      </c>
      <c r="F3" s="3">
        <v>46169</v>
      </c>
      <c r="G3" s="1">
        <f t="shared" ref="G3:G20" si="0">C3+D3+E3</f>
        <v>289</v>
      </c>
      <c r="H3" s="6">
        <f t="shared" ref="H3:H21" si="1">AVERAGE(C3:E3)</f>
        <v>96.333333333333329</v>
      </c>
      <c r="I3" s="1" t="str">
        <f t="shared" ref="I3:I21" si="2">IF(H3&gt;=90,"A+",IF(H3&gt;=80,"A",IF(H3&gt;=60,"B",IF(H3&gt;=33,"C","Fail"))))</f>
        <v>A+</v>
      </c>
      <c r="J3" s="1" t="str">
        <f t="shared" ref="J3:J21" si="3">IF(AND(C3&gt;80,D3&gt;80),"Yes","No")</f>
        <v>Yes</v>
      </c>
      <c r="K3" s="1" t="str">
        <f t="shared" ref="K3:K21" si="4">LEFT(B3,FIND(" ",B3)-1)</f>
        <v>Yashraj</v>
      </c>
      <c r="L3" s="1" t="str">
        <f>UPPER(B3)</f>
        <v>YASHRAJ SHARMA</v>
      </c>
      <c r="M3" s="1" t="str">
        <f t="shared" ref="M3:M21" si="5">LOWER(B3)</f>
        <v>yashraj sharma</v>
      </c>
      <c r="N3" s="1" t="str">
        <f>VLOOKUP(1002,A2:B21,2,FALSE)</f>
        <v>Yashraj Sharma</v>
      </c>
    </row>
    <row r="4" spans="1:14">
      <c r="A4" s="1">
        <v>1003</v>
      </c>
      <c r="B4" s="1" t="s">
        <v>14</v>
      </c>
      <c r="C4" s="1">
        <v>89</v>
      </c>
      <c r="D4" s="1">
        <v>89</v>
      </c>
      <c r="E4" s="1">
        <v>88</v>
      </c>
      <c r="F4" s="3">
        <v>46169</v>
      </c>
      <c r="G4" s="1">
        <f t="shared" si="0"/>
        <v>266</v>
      </c>
      <c r="H4" s="6">
        <f t="shared" si="1"/>
        <v>88.666666666666671</v>
      </c>
      <c r="I4" s="1" t="str">
        <f t="shared" si="2"/>
        <v>A</v>
      </c>
      <c r="J4" s="1" t="str">
        <f t="shared" si="3"/>
        <v>Yes</v>
      </c>
      <c r="K4" s="1" t="str">
        <f t="shared" si="4"/>
        <v>Punit</v>
      </c>
      <c r="L4" s="1" t="str">
        <f t="shared" ref="L4:L21" si="6">UPPER(B4)</f>
        <v>PUNIT MISHRA</v>
      </c>
      <c r="M4" s="1" t="str">
        <f t="shared" si="5"/>
        <v>punit mishra</v>
      </c>
      <c r="N4" s="1" t="str">
        <f>VLOOKUP(1003,A2:B21,2,FALSE)</f>
        <v>Punit Mishra</v>
      </c>
    </row>
    <row r="5" spans="1:14">
      <c r="A5" s="1">
        <v>1004</v>
      </c>
      <c r="B5" s="1" t="s">
        <v>16</v>
      </c>
      <c r="C5" s="1">
        <v>89</v>
      </c>
      <c r="D5" s="1">
        <v>75</v>
      </c>
      <c r="E5" s="1">
        <v>85</v>
      </c>
      <c r="F5" s="3">
        <v>46169</v>
      </c>
      <c r="G5" s="1">
        <f t="shared" si="0"/>
        <v>249</v>
      </c>
      <c r="H5" s="6">
        <f t="shared" si="1"/>
        <v>83</v>
      </c>
      <c r="I5" s="1" t="str">
        <f t="shared" si="2"/>
        <v>A</v>
      </c>
      <c r="J5" s="1" t="str">
        <f t="shared" si="3"/>
        <v>No</v>
      </c>
      <c r="K5" s="1" t="str">
        <f t="shared" si="4"/>
        <v>Amit</v>
      </c>
      <c r="L5" s="1" t="str">
        <f t="shared" si="6"/>
        <v>AMIT MAHARANA</v>
      </c>
      <c r="M5" s="1" t="str">
        <f t="shared" si="5"/>
        <v>amit maharana</v>
      </c>
      <c r="N5" s="1" t="str">
        <f>VLOOKUP(1004,A2:B21,2,FALSE)</f>
        <v>Amit Maharana</v>
      </c>
    </row>
    <row r="6" spans="1:14">
      <c r="A6" s="1">
        <v>1005</v>
      </c>
      <c r="B6" s="1" t="s">
        <v>17</v>
      </c>
      <c r="C6" s="1">
        <v>75</v>
      </c>
      <c r="D6" s="1">
        <v>99</v>
      </c>
      <c r="E6" s="1">
        <v>78</v>
      </c>
      <c r="F6" s="3">
        <v>46169</v>
      </c>
      <c r="G6" s="1">
        <f t="shared" si="0"/>
        <v>252</v>
      </c>
      <c r="H6" s="6">
        <f t="shared" si="1"/>
        <v>84</v>
      </c>
      <c r="I6" s="1" t="str">
        <f t="shared" si="2"/>
        <v>A</v>
      </c>
      <c r="J6" s="1" t="str">
        <f t="shared" si="3"/>
        <v>No</v>
      </c>
      <c r="K6" s="1" t="str">
        <f t="shared" si="4"/>
        <v>Abhiraj</v>
      </c>
      <c r="L6" s="1" t="str">
        <f t="shared" si="6"/>
        <v>ABHIRAJ SHARMA</v>
      </c>
      <c r="M6" s="1" t="str">
        <f t="shared" si="5"/>
        <v>abhiraj sharma</v>
      </c>
      <c r="N6" s="1" t="str">
        <f>VLOOKUP(1005,A2:B21,2,FALSE)</f>
        <v>Abhiraj Sharma</v>
      </c>
    </row>
    <row r="7" spans="1:14">
      <c r="A7" s="1">
        <v>1006</v>
      </c>
      <c r="B7" s="1" t="s">
        <v>18</v>
      </c>
      <c r="C7" s="1">
        <v>99</v>
      </c>
      <c r="D7" s="1">
        <v>97</v>
      </c>
      <c r="E7" s="1">
        <v>96</v>
      </c>
      <c r="F7" s="3">
        <v>46169</v>
      </c>
      <c r="G7" s="1">
        <f t="shared" si="0"/>
        <v>292</v>
      </c>
      <c r="H7" s="6">
        <f t="shared" si="1"/>
        <v>97.333333333333329</v>
      </c>
      <c r="I7" s="1" t="str">
        <f t="shared" si="2"/>
        <v>A+</v>
      </c>
      <c r="J7" s="1" t="str">
        <f t="shared" si="3"/>
        <v>Yes</v>
      </c>
      <c r="K7" s="1" t="str">
        <f t="shared" si="4"/>
        <v>Vaibhavraj</v>
      </c>
      <c r="L7" s="1" t="str">
        <f t="shared" si="6"/>
        <v>VAIBHAVRAJ SHARMA</v>
      </c>
      <c r="M7" s="1" t="str">
        <f t="shared" si="5"/>
        <v>vaibhavraj sharma</v>
      </c>
      <c r="N7" s="1" t="str">
        <f>VLOOKUP(1006,A2:B21,2,FALSE)</f>
        <v>Vaibhavraj Sharma</v>
      </c>
    </row>
    <row r="8" spans="1:14">
      <c r="A8" s="1">
        <v>1007</v>
      </c>
      <c r="B8" s="1" t="s">
        <v>19</v>
      </c>
      <c r="C8" s="1">
        <v>56</v>
      </c>
      <c r="D8" s="1">
        <v>95</v>
      </c>
      <c r="E8" s="1">
        <v>55</v>
      </c>
      <c r="F8" s="3">
        <v>46169</v>
      </c>
      <c r="G8" s="1">
        <f t="shared" si="0"/>
        <v>206</v>
      </c>
      <c r="H8" s="6">
        <f t="shared" si="1"/>
        <v>68.666666666666671</v>
      </c>
      <c r="I8" s="1" t="str">
        <f t="shared" si="2"/>
        <v>B</v>
      </c>
      <c r="J8" s="1" t="str">
        <f t="shared" si="3"/>
        <v>No</v>
      </c>
      <c r="K8" s="1" t="str">
        <f t="shared" si="4"/>
        <v>Sugam</v>
      </c>
      <c r="L8" s="1" t="str">
        <f t="shared" si="6"/>
        <v>SUGAM PRADHAN</v>
      </c>
      <c r="M8" s="1" t="str">
        <f t="shared" si="5"/>
        <v>sugam pradhan</v>
      </c>
      <c r="N8" s="1" t="str">
        <f>VLOOKUP(1007,A2:B21,2,FALSE)</f>
        <v>Sugam Pradhan</v>
      </c>
    </row>
    <row r="9" spans="1:14">
      <c r="A9" s="1">
        <v>1008</v>
      </c>
      <c r="B9" s="1" t="s">
        <v>20</v>
      </c>
      <c r="C9" s="1">
        <v>48</v>
      </c>
      <c r="D9" s="1">
        <v>78</v>
      </c>
      <c r="E9" s="1">
        <v>90</v>
      </c>
      <c r="F9" s="3">
        <v>46169</v>
      </c>
      <c r="G9" s="1">
        <f t="shared" si="0"/>
        <v>216</v>
      </c>
      <c r="H9" s="6">
        <f t="shared" si="1"/>
        <v>72</v>
      </c>
      <c r="I9" s="1" t="str">
        <f t="shared" si="2"/>
        <v>B</v>
      </c>
      <c r="J9" s="1" t="str">
        <f t="shared" si="3"/>
        <v>No</v>
      </c>
      <c r="K9" s="1" t="str">
        <f t="shared" si="4"/>
        <v>Prabhat</v>
      </c>
      <c r="L9" s="1" t="str">
        <f t="shared" si="6"/>
        <v>PRABHAT PANDEY</v>
      </c>
      <c r="M9" s="1" t="str">
        <f t="shared" si="5"/>
        <v>prabhat pandey</v>
      </c>
      <c r="N9" s="1" t="str">
        <f>VLOOKUP(1008,A2:B21,2,FALSE)</f>
        <v>Prabhat Pandey</v>
      </c>
    </row>
    <row r="10" spans="1:14">
      <c r="A10" s="1">
        <v>1009</v>
      </c>
      <c r="B10" s="1" t="s">
        <v>21</v>
      </c>
      <c r="C10" s="1">
        <v>89</v>
      </c>
      <c r="D10" s="1">
        <v>56</v>
      </c>
      <c r="E10" s="1">
        <v>64</v>
      </c>
      <c r="F10" s="3">
        <v>46169</v>
      </c>
      <c r="G10" s="1">
        <f t="shared" si="0"/>
        <v>209</v>
      </c>
      <c r="H10" s="6">
        <f t="shared" si="1"/>
        <v>69.666666666666671</v>
      </c>
      <c r="I10" s="1" t="str">
        <f t="shared" si="2"/>
        <v>B</v>
      </c>
      <c r="J10" s="1" t="str">
        <f t="shared" si="3"/>
        <v>No</v>
      </c>
      <c r="K10" s="1" t="str">
        <f t="shared" si="4"/>
        <v>Deepak</v>
      </c>
      <c r="L10" s="1" t="str">
        <f t="shared" si="6"/>
        <v>DEEPAK PASWAN</v>
      </c>
      <c r="M10" s="1" t="str">
        <f t="shared" si="5"/>
        <v>deepak paswan</v>
      </c>
      <c r="N10" s="1" t="str">
        <f>VLOOKUP(1009,A2:B21,2,FALSE)</f>
        <v>Deepak Paswan</v>
      </c>
    </row>
    <row r="11" spans="1:14">
      <c r="A11" s="1">
        <v>1010</v>
      </c>
      <c r="B11" s="1" t="s">
        <v>22</v>
      </c>
      <c r="C11" s="1">
        <v>55</v>
      </c>
      <c r="D11" s="1">
        <v>52</v>
      </c>
      <c r="E11" s="1">
        <v>69</v>
      </c>
      <c r="F11" s="3">
        <v>46169</v>
      </c>
      <c r="G11" s="1">
        <f t="shared" si="0"/>
        <v>176</v>
      </c>
      <c r="H11" s="6">
        <f t="shared" si="1"/>
        <v>58.666666666666664</v>
      </c>
      <c r="I11" s="1" t="str">
        <f t="shared" si="2"/>
        <v>C</v>
      </c>
      <c r="J11" s="1" t="str">
        <f t="shared" si="3"/>
        <v>No</v>
      </c>
      <c r="K11" s="1" t="str">
        <f t="shared" si="4"/>
        <v>Keshav</v>
      </c>
      <c r="L11" s="1" t="str">
        <f t="shared" si="6"/>
        <v>KESHAV SINGH</v>
      </c>
      <c r="M11" s="1" t="str">
        <f t="shared" si="5"/>
        <v>keshav singh</v>
      </c>
      <c r="N11" s="1" t="str">
        <f>VLOOKUP(1010,A2:B21,2,FALSE)</f>
        <v>Keshav Singh</v>
      </c>
    </row>
    <row r="12" spans="1:14">
      <c r="A12" s="1">
        <v>1011</v>
      </c>
      <c r="B12" s="1" t="s">
        <v>23</v>
      </c>
      <c r="C12" s="1">
        <v>39</v>
      </c>
      <c r="D12" s="1">
        <v>33</v>
      </c>
      <c r="E12" s="1">
        <v>64</v>
      </c>
      <c r="F12" s="3">
        <v>46169</v>
      </c>
      <c r="G12" s="1">
        <f t="shared" si="0"/>
        <v>136</v>
      </c>
      <c r="H12" s="6">
        <f t="shared" si="1"/>
        <v>45.333333333333336</v>
      </c>
      <c r="I12" s="1" t="str">
        <f t="shared" si="2"/>
        <v>C</v>
      </c>
      <c r="J12" s="1" t="str">
        <f t="shared" si="3"/>
        <v>No</v>
      </c>
      <c r="K12" s="1" t="str">
        <f t="shared" si="4"/>
        <v>Kashyap</v>
      </c>
      <c r="L12" s="1" t="str">
        <f t="shared" si="6"/>
        <v>KASHYAP VERMA</v>
      </c>
      <c r="M12" s="1" t="str">
        <f t="shared" si="5"/>
        <v>kashyap verma</v>
      </c>
      <c r="N12" s="1" t="str">
        <f>VLOOKUP(1011,A2:B21,2,FALSE)</f>
        <v>Kashyap Verma</v>
      </c>
    </row>
    <row r="13" spans="1:14">
      <c r="A13" s="1">
        <v>1012</v>
      </c>
      <c r="B13" s="1" t="s">
        <v>24</v>
      </c>
      <c r="C13" s="1">
        <v>69</v>
      </c>
      <c r="D13" s="1">
        <v>56</v>
      </c>
      <c r="E13" s="1">
        <v>61</v>
      </c>
      <c r="F13" s="3">
        <v>46169</v>
      </c>
      <c r="G13" s="1">
        <f t="shared" si="0"/>
        <v>186</v>
      </c>
      <c r="H13" s="6">
        <f t="shared" si="1"/>
        <v>62</v>
      </c>
      <c r="I13" s="1" t="str">
        <f t="shared" si="2"/>
        <v>B</v>
      </c>
      <c r="J13" s="1" t="str">
        <f t="shared" si="3"/>
        <v>No</v>
      </c>
      <c r="K13" s="1" t="str">
        <f t="shared" si="4"/>
        <v>Virat</v>
      </c>
      <c r="L13" s="1" t="str">
        <f t="shared" si="6"/>
        <v>VIRAT KOHLI</v>
      </c>
      <c r="M13" s="1" t="str">
        <f t="shared" si="5"/>
        <v>virat kohli</v>
      </c>
      <c r="N13" s="1" t="str">
        <f>VLOOKUP(1012,A2:B21,2,FALSE)</f>
        <v>Virat Kohli</v>
      </c>
    </row>
    <row r="14" spans="1:14">
      <c r="A14" s="1">
        <v>1013</v>
      </c>
      <c r="B14" s="1" t="s">
        <v>25</v>
      </c>
      <c r="C14" s="1">
        <v>58</v>
      </c>
      <c r="D14" s="1">
        <v>87</v>
      </c>
      <c r="E14" s="1">
        <v>58</v>
      </c>
      <c r="F14" s="3">
        <v>46169</v>
      </c>
      <c r="G14" s="1">
        <f t="shared" si="0"/>
        <v>203</v>
      </c>
      <c r="H14" s="6">
        <f t="shared" si="1"/>
        <v>67.666666666666671</v>
      </c>
      <c r="I14" s="1" t="str">
        <f t="shared" si="2"/>
        <v>B</v>
      </c>
      <c r="J14" s="1" t="str">
        <f t="shared" si="3"/>
        <v>No</v>
      </c>
      <c r="K14" s="1" t="str">
        <f t="shared" si="4"/>
        <v>Mrunal</v>
      </c>
      <c r="L14" s="1" t="str">
        <f t="shared" si="6"/>
        <v>MRUNAL THAKUR</v>
      </c>
      <c r="M14" s="1" t="str">
        <f t="shared" si="5"/>
        <v>mrunal thakur</v>
      </c>
      <c r="N14" s="1" t="str">
        <f>VLOOKUP(1013,A2:B21,2,FALSE)</f>
        <v>Mrunal Thakur</v>
      </c>
    </row>
    <row r="15" spans="1:14">
      <c r="A15" s="1">
        <v>1014</v>
      </c>
      <c r="B15" s="1" t="s">
        <v>26</v>
      </c>
      <c r="C15" s="1">
        <v>63</v>
      </c>
      <c r="D15" s="1">
        <v>89</v>
      </c>
      <c r="E15" s="1">
        <v>55</v>
      </c>
      <c r="F15" s="3">
        <v>46169</v>
      </c>
      <c r="G15" s="1">
        <f t="shared" si="0"/>
        <v>207</v>
      </c>
      <c r="H15" s="6">
        <f t="shared" si="1"/>
        <v>69</v>
      </c>
      <c r="I15" s="1" t="str">
        <f t="shared" si="2"/>
        <v>B</v>
      </c>
      <c r="J15" s="1" t="str">
        <f t="shared" si="3"/>
        <v>No</v>
      </c>
      <c r="K15" s="1" t="str">
        <f t="shared" si="4"/>
        <v>Sadgi</v>
      </c>
      <c r="L15" s="1" t="str">
        <f t="shared" si="6"/>
        <v>SADGI PANDEY</v>
      </c>
      <c r="M15" s="1" t="str">
        <f t="shared" si="5"/>
        <v>sadgi pandey</v>
      </c>
      <c r="N15" s="1" t="str">
        <f>VLOOKUP(1014,A2:B21,2,FALSE)</f>
        <v>Sadgi Pandey</v>
      </c>
    </row>
    <row r="16" spans="1:14">
      <c r="A16" s="1">
        <v>1015</v>
      </c>
      <c r="B16" s="1" t="s">
        <v>27</v>
      </c>
      <c r="C16" s="1">
        <v>51</v>
      </c>
      <c r="D16" s="1">
        <v>54</v>
      </c>
      <c r="E16" s="1">
        <v>59</v>
      </c>
      <c r="F16" s="3">
        <v>46169</v>
      </c>
      <c r="G16" s="1">
        <f t="shared" si="0"/>
        <v>164</v>
      </c>
      <c r="H16" s="6">
        <f t="shared" si="1"/>
        <v>54.666666666666664</v>
      </c>
      <c r="I16" s="1" t="str">
        <f t="shared" si="2"/>
        <v>C</v>
      </c>
      <c r="J16" s="1" t="str">
        <f t="shared" si="3"/>
        <v>No</v>
      </c>
      <c r="K16" s="1" t="str">
        <f t="shared" si="4"/>
        <v>Aarav</v>
      </c>
      <c r="L16" s="1" t="str">
        <f t="shared" si="6"/>
        <v>AARAV PANDEY</v>
      </c>
      <c r="M16" s="1" t="str">
        <f t="shared" si="5"/>
        <v>aarav pandey</v>
      </c>
      <c r="N16" s="1" t="str">
        <f>VLOOKUP(1015,A2:B21,2,FALSE)</f>
        <v>Aarav Pandey</v>
      </c>
    </row>
    <row r="17" spans="1:14">
      <c r="A17" s="1">
        <v>1016</v>
      </c>
      <c r="B17" s="1" t="s">
        <v>28</v>
      </c>
      <c r="C17" s="1">
        <v>94</v>
      </c>
      <c r="D17" s="1">
        <v>98</v>
      </c>
      <c r="E17" s="1">
        <v>81</v>
      </c>
      <c r="F17" s="3">
        <v>46169</v>
      </c>
      <c r="G17" s="1">
        <f t="shared" si="0"/>
        <v>273</v>
      </c>
      <c r="H17" s="6">
        <f t="shared" si="1"/>
        <v>91</v>
      </c>
      <c r="I17" s="1" t="str">
        <f t="shared" si="2"/>
        <v>A+</v>
      </c>
      <c r="J17" s="1" t="str">
        <f t="shared" si="3"/>
        <v>Yes</v>
      </c>
      <c r="K17" s="1" t="str">
        <f t="shared" si="4"/>
        <v>Dhaval</v>
      </c>
      <c r="L17" s="1" t="str">
        <f t="shared" si="6"/>
        <v>DHAVAL PRAJAPATI</v>
      </c>
      <c r="M17" s="1" t="str">
        <f t="shared" si="5"/>
        <v>dhaval prajapati</v>
      </c>
      <c r="N17" s="1" t="str">
        <f>VLOOKUP(1016,A2:B21,2,FALSE)</f>
        <v>Dhaval Prajapati</v>
      </c>
    </row>
    <row r="18" spans="1:14">
      <c r="A18" s="1">
        <v>1017</v>
      </c>
      <c r="B18" s="1" t="s">
        <v>29</v>
      </c>
      <c r="C18" s="1">
        <v>75</v>
      </c>
      <c r="D18" s="1">
        <v>69</v>
      </c>
      <c r="E18" s="1">
        <v>86</v>
      </c>
      <c r="F18" s="3">
        <v>46169</v>
      </c>
      <c r="G18" s="1">
        <f t="shared" si="0"/>
        <v>230</v>
      </c>
      <c r="H18" s="6">
        <f t="shared" si="1"/>
        <v>76.666666666666671</v>
      </c>
      <c r="I18" s="1" t="str">
        <f t="shared" si="2"/>
        <v>B</v>
      </c>
      <c r="J18" s="1" t="str">
        <f t="shared" si="3"/>
        <v>No</v>
      </c>
      <c r="K18" s="1" t="str">
        <f t="shared" si="4"/>
        <v>Yogesh</v>
      </c>
      <c r="L18" s="1" t="str">
        <f t="shared" si="6"/>
        <v>YOGESH PRAJAPATI</v>
      </c>
      <c r="M18" s="1" t="str">
        <f t="shared" si="5"/>
        <v>yogesh prajapati</v>
      </c>
      <c r="N18" s="1" t="str">
        <f>VLOOKUP(1017,A2:B21,2,FALSE)</f>
        <v>Yogesh Prajapati</v>
      </c>
    </row>
    <row r="19" spans="1:14">
      <c r="A19" s="1">
        <v>1018</v>
      </c>
      <c r="B19" s="1" t="s">
        <v>30</v>
      </c>
      <c r="C19" s="1">
        <v>66</v>
      </c>
      <c r="D19" s="1">
        <v>42</v>
      </c>
      <c r="E19" s="1">
        <v>82</v>
      </c>
      <c r="F19" s="3">
        <v>46169</v>
      </c>
      <c r="G19" s="1">
        <f t="shared" si="0"/>
        <v>190</v>
      </c>
      <c r="H19" s="6">
        <f t="shared" si="1"/>
        <v>63.333333333333336</v>
      </c>
      <c r="I19" s="1" t="str">
        <f t="shared" si="2"/>
        <v>B</v>
      </c>
      <c r="J19" s="1" t="str">
        <f t="shared" si="3"/>
        <v>No</v>
      </c>
      <c r="K19" s="1" t="str">
        <f t="shared" si="4"/>
        <v>Mahesh</v>
      </c>
      <c r="L19" s="1" t="str">
        <f t="shared" si="6"/>
        <v>MAHESH CHAUBEY</v>
      </c>
      <c r="M19" s="1" t="str">
        <f t="shared" si="5"/>
        <v>mahesh chaubey</v>
      </c>
      <c r="N19" s="1" t="str">
        <f>VLOOKUP(1018,A2:B21,2,FALSE)</f>
        <v>Mahesh Chaubey</v>
      </c>
    </row>
    <row r="20" spans="1:14">
      <c r="A20" s="1">
        <v>1019</v>
      </c>
      <c r="B20" s="1" t="s">
        <v>31</v>
      </c>
      <c r="C20" s="1">
        <v>46</v>
      </c>
      <c r="D20" s="1">
        <v>36</v>
      </c>
      <c r="E20" s="1">
        <v>81</v>
      </c>
      <c r="F20" s="3">
        <v>46169</v>
      </c>
      <c r="G20" s="1">
        <f t="shared" si="0"/>
        <v>163</v>
      </c>
      <c r="H20" s="6">
        <f t="shared" si="1"/>
        <v>54.333333333333336</v>
      </c>
      <c r="I20" s="1" t="str">
        <f t="shared" si="2"/>
        <v>C</v>
      </c>
      <c r="J20" s="1" t="str">
        <f t="shared" si="3"/>
        <v>No</v>
      </c>
      <c r="K20" s="1" t="str">
        <f t="shared" si="4"/>
        <v>Sarish</v>
      </c>
      <c r="L20" s="1" t="str">
        <f t="shared" si="6"/>
        <v>SARISH KHARWAR</v>
      </c>
      <c r="M20" s="1" t="str">
        <f t="shared" si="5"/>
        <v>sarish kharwar</v>
      </c>
      <c r="N20" s="1" t="str">
        <f>VLOOKUP(1019,A2:B21,2,FALSE)</f>
        <v>Sarish kharwar</v>
      </c>
    </row>
    <row r="21" spans="1:14">
      <c r="A21" s="1">
        <v>1020</v>
      </c>
      <c r="B21" s="1" t="s">
        <v>32</v>
      </c>
      <c r="C21" s="1">
        <v>75</v>
      </c>
      <c r="D21" s="1">
        <v>39</v>
      </c>
      <c r="E21" s="1">
        <v>40</v>
      </c>
      <c r="F21" s="3">
        <v>46169</v>
      </c>
      <c r="G21" s="1">
        <f>C21+D21+E21</f>
        <v>154</v>
      </c>
      <c r="H21" s="6">
        <f t="shared" si="1"/>
        <v>51.333333333333336</v>
      </c>
      <c r="I21" s="1" t="str">
        <f t="shared" si="2"/>
        <v>C</v>
      </c>
      <c r="J21" s="1" t="str">
        <f t="shared" si="3"/>
        <v>No</v>
      </c>
      <c r="K21" s="1" t="str">
        <f t="shared" si="4"/>
        <v>Sarvesh</v>
      </c>
      <c r="L21" s="1" t="str">
        <f t="shared" si="6"/>
        <v>SARVESH MISHRA</v>
      </c>
      <c r="M21" s="1" t="str">
        <f t="shared" si="5"/>
        <v>sarvesh mishra</v>
      </c>
      <c r="N21" s="1" t="str">
        <f>VLOOKUP(1020,A2:B21,2,FALSE)</f>
        <v>Sarvesh Mishra</v>
      </c>
    </row>
    <row r="27" spans="1:14" ht="18">
      <c r="A27" s="21" t="s">
        <v>34</v>
      </c>
      <c r="B27" s="21"/>
      <c r="C27" s="21"/>
      <c r="D27" s="21"/>
      <c r="E27" s="21"/>
      <c r="F27" s="21"/>
      <c r="G27" s="21"/>
      <c r="H27" s="21"/>
      <c r="I27" s="21"/>
      <c r="M27" s="5" t="s">
        <v>10</v>
      </c>
    </row>
    <row r="28" spans="1:14">
      <c r="A28" s="7" t="str" cm="1">
        <f t="array" ref="A28:I35">_xlfn.VSTACK(A1:I1,_xlfn._xlws.FILTER(A2:I21,H2:H21&gt;80))</f>
        <v>Student ID</v>
      </c>
      <c r="B28" s="7" t="str">
        <v>Name</v>
      </c>
      <c r="C28" s="7" t="str">
        <v>Math</v>
      </c>
      <c r="D28" s="7" t="str">
        <v>Science</v>
      </c>
      <c r="E28" s="7" t="str">
        <v>English</v>
      </c>
      <c r="F28" s="7" t="str">
        <v>Enrollment Date</v>
      </c>
      <c r="G28" s="7" t="str">
        <v>Total</v>
      </c>
      <c r="H28" s="7" t="str">
        <v>Average</v>
      </c>
      <c r="I28" s="7" t="str">
        <v>Grade</v>
      </c>
      <c r="M28" s="1">
        <f>COUNTIFS(C2:C21,"&gt;50")</f>
        <v>17</v>
      </c>
    </row>
    <row r="29" spans="1:14">
      <c r="A29" s="1">
        <v>1001</v>
      </c>
      <c r="B29" s="1" t="str">
        <v>Anuradha Prajapati</v>
      </c>
      <c r="C29" s="1">
        <v>89</v>
      </c>
      <c r="D29" s="1">
        <v>96</v>
      </c>
      <c r="E29" s="1">
        <v>94</v>
      </c>
      <c r="F29" s="1">
        <v>46169</v>
      </c>
      <c r="G29" s="1">
        <v>279</v>
      </c>
      <c r="H29" s="1">
        <v>93</v>
      </c>
      <c r="I29" s="1" t="str">
        <v>A+</v>
      </c>
    </row>
    <row r="30" spans="1:14">
      <c r="A30" s="1">
        <v>1002</v>
      </c>
      <c r="B30" s="1" t="str">
        <v>Yashraj Sharma</v>
      </c>
      <c r="C30" s="1">
        <v>95</v>
      </c>
      <c r="D30" s="1">
        <v>98</v>
      </c>
      <c r="E30" s="1">
        <v>96</v>
      </c>
      <c r="F30" s="1">
        <v>46169</v>
      </c>
      <c r="G30" s="1">
        <v>289</v>
      </c>
      <c r="H30" s="1">
        <v>96.333333333333329</v>
      </c>
      <c r="I30" s="1" t="str">
        <v>A+</v>
      </c>
    </row>
    <row r="31" spans="1:14">
      <c r="A31" s="1">
        <v>1003</v>
      </c>
      <c r="B31" s="1" t="str">
        <v>Punit Mishra</v>
      </c>
      <c r="C31" s="1">
        <v>89</v>
      </c>
      <c r="D31" s="1">
        <v>89</v>
      </c>
      <c r="E31" s="1">
        <v>88</v>
      </c>
      <c r="F31" s="1">
        <v>46169</v>
      </c>
      <c r="G31" s="1">
        <v>266</v>
      </c>
      <c r="H31" s="1">
        <v>88.666666666666671</v>
      </c>
      <c r="I31" s="1" t="str">
        <v>A</v>
      </c>
    </row>
    <row r="32" spans="1:14">
      <c r="A32" s="1">
        <v>1004</v>
      </c>
      <c r="B32" s="1" t="str">
        <v>Amit Maharana</v>
      </c>
      <c r="C32" s="1">
        <v>89</v>
      </c>
      <c r="D32" s="1">
        <v>75</v>
      </c>
      <c r="E32" s="1">
        <v>85</v>
      </c>
      <c r="F32" s="1">
        <v>46169</v>
      </c>
      <c r="G32" s="1">
        <v>249</v>
      </c>
      <c r="H32" s="1">
        <v>83</v>
      </c>
      <c r="I32" s="1" t="str">
        <v>A</v>
      </c>
    </row>
    <row r="33" spans="1:9">
      <c r="A33" s="1">
        <v>1005</v>
      </c>
      <c r="B33" s="1" t="str">
        <v>Abhiraj Sharma</v>
      </c>
      <c r="C33" s="1">
        <v>75</v>
      </c>
      <c r="D33" s="1">
        <v>99</v>
      </c>
      <c r="E33" s="1">
        <v>78</v>
      </c>
      <c r="F33" s="1">
        <v>46169</v>
      </c>
      <c r="G33" s="1">
        <v>252</v>
      </c>
      <c r="H33" s="1">
        <v>84</v>
      </c>
      <c r="I33" s="1" t="str">
        <v>A</v>
      </c>
    </row>
    <row r="34" spans="1:9">
      <c r="A34" s="1">
        <v>1006</v>
      </c>
      <c r="B34" s="1" t="str">
        <v>Vaibhavraj Sharma</v>
      </c>
      <c r="C34" s="1">
        <v>99</v>
      </c>
      <c r="D34" s="1">
        <v>97</v>
      </c>
      <c r="E34" s="1">
        <v>96</v>
      </c>
      <c r="F34" s="1">
        <v>46169</v>
      </c>
      <c r="G34" s="1">
        <v>292</v>
      </c>
      <c r="H34" s="1">
        <v>97.333333333333329</v>
      </c>
      <c r="I34" s="1" t="str">
        <v>A+</v>
      </c>
    </row>
    <row r="35" spans="1:9">
      <c r="A35" s="1">
        <v>1016</v>
      </c>
      <c r="B35" s="1" t="str">
        <v>Dhaval Prajapati</v>
      </c>
      <c r="C35" s="1">
        <v>94</v>
      </c>
      <c r="D35" s="1">
        <v>98</v>
      </c>
      <c r="E35" s="1">
        <v>81</v>
      </c>
      <c r="F35" s="1">
        <v>46169</v>
      </c>
      <c r="G35" s="1">
        <v>273</v>
      </c>
      <c r="H35" s="1">
        <v>91</v>
      </c>
      <c r="I35" s="1" t="str">
        <v>A+</v>
      </c>
    </row>
  </sheetData>
  <mergeCells count="1">
    <mergeCell ref="A27:I27"/>
  </mergeCells>
  <pageMargins left="0.7" right="0.7" top="0.75" bottom="0.75" header="0.3" footer="0.3"/>
  <pageSetup orientation="portrait" r:id="rId1"/>
  <ignoredErrors>
    <ignoredError sqref="H2:H2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50D28-C6FE-4B13-845C-C1CBE52859B6}">
  <dimension ref="A1:L23"/>
  <sheetViews>
    <sheetView workbookViewId="0">
      <selection activeCell="L11" sqref="L11"/>
    </sheetView>
  </sheetViews>
  <sheetFormatPr defaultRowHeight="14.4"/>
  <cols>
    <col min="4" max="4" width="17.5546875" customWidth="1"/>
    <col min="5" max="5" width="9.21875" customWidth="1"/>
    <col min="6" max="6" width="11.21875" customWidth="1"/>
    <col min="7" max="7" width="29.21875" customWidth="1"/>
    <col min="8" max="8" width="33.33203125" customWidth="1"/>
    <col min="9" max="9" width="8.77734375" customWidth="1"/>
    <col min="10" max="10" width="39" customWidth="1"/>
    <col min="11" max="11" width="8" customWidth="1"/>
    <col min="12" max="12" width="32" customWidth="1"/>
  </cols>
  <sheetData>
    <row r="1" spans="1:12">
      <c r="A1" s="9" t="s">
        <v>35</v>
      </c>
      <c r="B1" s="9" t="s">
        <v>36</v>
      </c>
      <c r="C1" s="9" t="s">
        <v>37</v>
      </c>
      <c r="D1" s="9" t="s">
        <v>38</v>
      </c>
      <c r="E1" s="9" t="s">
        <v>39</v>
      </c>
      <c r="F1" s="9" t="s">
        <v>40</v>
      </c>
      <c r="G1" s="2" t="s">
        <v>71</v>
      </c>
    </row>
    <row r="2" spans="1:12">
      <c r="A2" s="1">
        <v>2001</v>
      </c>
      <c r="B2" s="1" t="s">
        <v>41</v>
      </c>
      <c r="C2" s="1" t="s">
        <v>46</v>
      </c>
      <c r="D2" s="1" t="s">
        <v>13</v>
      </c>
      <c r="E2" s="1">
        <v>900</v>
      </c>
      <c r="F2" s="3">
        <v>46023</v>
      </c>
      <c r="G2" s="1" cm="1">
        <f t="array" ref="G2">INDEX(E2:E21,MATCH(1,(D2:D21="Anuradha Prajapati")*(MONTH(F2:F21)=1),0))</f>
        <v>900</v>
      </c>
    </row>
    <row r="3" spans="1:12">
      <c r="A3" s="1">
        <v>2002</v>
      </c>
      <c r="B3" s="1" t="s">
        <v>42</v>
      </c>
      <c r="C3" s="1" t="s">
        <v>47</v>
      </c>
      <c r="D3" s="1" t="s">
        <v>15</v>
      </c>
      <c r="E3" s="1">
        <v>800</v>
      </c>
      <c r="F3" s="3">
        <v>46034</v>
      </c>
      <c r="G3" s="1" cm="1">
        <f t="array" ref="G3">INDEX(E3:E22,MATCH(1,(D3:D22="Yashraj Sharma")*(MONTH(F3:F22)=1),0))</f>
        <v>800</v>
      </c>
      <c r="J3" s="2" t="s">
        <v>50</v>
      </c>
      <c r="L3" s="2" t="s">
        <v>52</v>
      </c>
    </row>
    <row r="4" spans="1:12">
      <c r="A4" s="1">
        <v>2003</v>
      </c>
      <c r="B4" s="1" t="s">
        <v>43</v>
      </c>
      <c r="C4" s="1" t="s">
        <v>48</v>
      </c>
      <c r="D4" s="1" t="s">
        <v>14</v>
      </c>
      <c r="E4" s="1">
        <v>5000</v>
      </c>
      <c r="F4" s="3">
        <v>46056</v>
      </c>
      <c r="G4" s="1" cm="1">
        <f t="array" ref="G4">INDEX(E4:E23,MATCH(1,(D4:D23="Punit Mishra")*(MONTH(F4:F23)=2),0))</f>
        <v>5000</v>
      </c>
      <c r="J4" s="1">
        <f>SUMIFS(E2:E21,B2:B21,"Keyboard",C2:C21,"South")</f>
        <v>1800</v>
      </c>
      <c r="L4" s="1">
        <f>VLOOKUP("Mouse",B2:E21,4,FALSE)</f>
        <v>800</v>
      </c>
    </row>
    <row r="5" spans="1:12">
      <c r="A5" s="1">
        <v>2004</v>
      </c>
      <c r="B5" s="1" t="s">
        <v>43</v>
      </c>
      <c r="C5" s="1" t="s">
        <v>46</v>
      </c>
      <c r="D5" s="1" t="s">
        <v>16</v>
      </c>
      <c r="E5" s="1">
        <v>7000</v>
      </c>
      <c r="F5" s="3">
        <v>46026</v>
      </c>
      <c r="G5" s="1" cm="1">
        <f t="array" ref="G5">INDEX(E5:E24,MATCH(1,(D5:D24="Amit Maharana")*(MONTH(F5:F24)=1),0))</f>
        <v>7000</v>
      </c>
    </row>
    <row r="6" spans="1:12">
      <c r="A6" s="1">
        <v>2005</v>
      </c>
      <c r="B6" s="1" t="s">
        <v>44</v>
      </c>
      <c r="C6" s="1" t="s">
        <v>47</v>
      </c>
      <c r="D6" s="1" t="s">
        <v>17</v>
      </c>
      <c r="E6" s="1">
        <v>80000</v>
      </c>
      <c r="F6" s="3">
        <v>46027</v>
      </c>
      <c r="G6" s="1" cm="1">
        <f t="array" ref="G6">INDEX(E6:E25,MATCH(1,(D6:D25="Abhiraj Sharma")*(MONTH(F6:F25)=1),0))</f>
        <v>80000</v>
      </c>
      <c r="J6" s="2" t="s">
        <v>51</v>
      </c>
      <c r="L6" s="2" t="s">
        <v>53</v>
      </c>
    </row>
    <row r="7" spans="1:12">
      <c r="A7" s="1">
        <v>2006</v>
      </c>
      <c r="B7" s="1" t="s">
        <v>45</v>
      </c>
      <c r="C7" s="1" t="s">
        <v>49</v>
      </c>
      <c r="D7" s="1" t="s">
        <v>18</v>
      </c>
      <c r="E7" s="1">
        <v>500</v>
      </c>
      <c r="F7" s="3">
        <v>46046</v>
      </c>
      <c r="G7" s="1" cm="1">
        <f t="array" ref="G7">INDEX(E7:E26,MATCH(1,(D7:D26="Vaibhavraj Sharma")*(MONTH(F7:F26)=1),0))</f>
        <v>500</v>
      </c>
      <c r="J7" s="1">
        <f>COUNTIFS(B2:B21,"Keyboard")</f>
        <v>3</v>
      </c>
      <c r="L7" s="1">
        <f>_xlfn.XMATCH("Laptop",B2:B21)</f>
        <v>5</v>
      </c>
    </row>
    <row r="8" spans="1:12">
      <c r="A8" s="1">
        <v>2007</v>
      </c>
      <c r="B8" s="1" t="s">
        <v>42</v>
      </c>
      <c r="C8" s="1" t="s">
        <v>48</v>
      </c>
      <c r="D8" s="1" t="s">
        <v>19</v>
      </c>
      <c r="E8" s="1">
        <v>900</v>
      </c>
      <c r="F8" s="3">
        <v>46049</v>
      </c>
      <c r="G8" s="1" cm="1">
        <f t="array" ref="G8">INDEX(E8:E27,MATCH(1,(D8:D27="Sugam Pradhan")*(MONTH(F8:F27)=1),0))</f>
        <v>900</v>
      </c>
    </row>
    <row r="9" spans="1:12">
      <c r="A9" s="1">
        <v>2008</v>
      </c>
      <c r="B9" s="1" t="s">
        <v>41</v>
      </c>
      <c r="C9" s="1" t="s">
        <v>46</v>
      </c>
      <c r="D9" s="1" t="s">
        <v>20</v>
      </c>
      <c r="E9" s="1">
        <v>900</v>
      </c>
      <c r="F9" s="3">
        <v>46040</v>
      </c>
      <c r="G9" s="1" cm="1">
        <f t="array" ref="G9">INDEX(E9:E28,MATCH(1,(D9:D28="Prabhat Pandey")*(MONTH(F9:F28)=1),0))</f>
        <v>900</v>
      </c>
      <c r="J9" s="2" t="s">
        <v>72</v>
      </c>
      <c r="L9" s="2" t="s">
        <v>69</v>
      </c>
    </row>
    <row r="10" spans="1:12">
      <c r="A10" s="1">
        <v>2009</v>
      </c>
      <c r="B10" s="1" t="s">
        <v>42</v>
      </c>
      <c r="C10" s="1" t="s">
        <v>47</v>
      </c>
      <c r="D10" s="1" t="s">
        <v>21</v>
      </c>
      <c r="E10" s="1">
        <v>750</v>
      </c>
      <c r="F10" s="3">
        <v>46041</v>
      </c>
      <c r="G10" s="1" cm="1">
        <f t="array" ref="G10">INDEX(E10:E29,MATCH(1,(D10:D29="Deepak Paswan")*(MONTH(F10:F29)=1),0))</f>
        <v>750</v>
      </c>
      <c r="J10" s="1">
        <f>_xlfn.XLOOKUP("Anuradha Prajapati",D2:D21,E2:E21)</f>
        <v>900</v>
      </c>
      <c r="L10" s="1">
        <f ca="1">SUM(OFFSET(E2,0,0,5,1))</f>
        <v>93700</v>
      </c>
    </row>
    <row r="11" spans="1:12">
      <c r="A11" s="1">
        <v>2010</v>
      </c>
      <c r="B11" s="1" t="s">
        <v>44</v>
      </c>
      <c r="C11" s="1" t="s">
        <v>47</v>
      </c>
      <c r="D11" s="1" t="s">
        <v>22</v>
      </c>
      <c r="E11" s="1">
        <v>80000</v>
      </c>
      <c r="F11" s="3">
        <v>46032</v>
      </c>
      <c r="G11" s="1" cm="1">
        <f t="array" ref="G11">INDEX(E11:E30,MATCH(1,(D11:D30="Keshav Singh")*(MONTH(F11:F30)=1),0))</f>
        <v>80000</v>
      </c>
    </row>
    <row r="12" spans="1:12">
      <c r="A12" s="1">
        <v>2011</v>
      </c>
      <c r="B12" s="1" t="s">
        <v>43</v>
      </c>
      <c r="C12" s="1" t="s">
        <v>49</v>
      </c>
      <c r="D12" s="1" t="s">
        <v>23</v>
      </c>
      <c r="E12" s="1">
        <v>8000</v>
      </c>
      <c r="F12" s="3">
        <v>46033</v>
      </c>
      <c r="G12" s="1" cm="1">
        <f t="array" ref="G12">INDEX(E12:E31,MATCH(1,(D12:D31="Kashyap Verma")*(MONTH(F12:F31)=1),0))</f>
        <v>8000</v>
      </c>
    </row>
    <row r="13" spans="1:12">
      <c r="A13" s="1">
        <v>2012</v>
      </c>
      <c r="B13" s="1" t="s">
        <v>44</v>
      </c>
      <c r="C13" s="1" t="s">
        <v>46</v>
      </c>
      <c r="D13" s="1" t="s">
        <v>24</v>
      </c>
      <c r="E13" s="1">
        <v>90000</v>
      </c>
      <c r="F13" s="3">
        <v>46034</v>
      </c>
      <c r="G13" s="1" cm="1">
        <f t="array" ref="G13">INDEX(E13:E32,MATCH(1,(D13:D32="Virat Kohli")*(MONTH(F13:F32)=1),0))</f>
        <v>90000</v>
      </c>
    </row>
    <row r="14" spans="1:12">
      <c r="A14" s="1">
        <v>2013</v>
      </c>
      <c r="B14" s="1" t="s">
        <v>45</v>
      </c>
      <c r="C14" s="1" t="s">
        <v>47</v>
      </c>
      <c r="D14" s="1" t="s">
        <v>25</v>
      </c>
      <c r="E14" s="1">
        <v>5000</v>
      </c>
      <c r="F14" s="3">
        <v>46035</v>
      </c>
      <c r="G14" s="1" cm="1">
        <f t="array" ref="G14">INDEX(E14:E33,MATCH(1,(D14:D33="Mrunal Thakur")*(MONTH(F14:F33)=1),0))</f>
        <v>5000</v>
      </c>
    </row>
    <row r="15" spans="1:12">
      <c r="A15" s="1">
        <v>2014</v>
      </c>
      <c r="B15" s="1" t="s">
        <v>42</v>
      </c>
      <c r="C15" s="1" t="s">
        <v>49</v>
      </c>
      <c r="D15" s="1" t="s">
        <v>26</v>
      </c>
      <c r="E15" s="1">
        <v>900</v>
      </c>
      <c r="F15" s="3">
        <v>46036</v>
      </c>
      <c r="G15" s="1" cm="1">
        <f t="array" ref="G15">INDEX(E15:E34,MATCH(1,(D15:D34="Sadgi Pandey")*(MONTH(F15:F34)=1),0))</f>
        <v>900</v>
      </c>
    </row>
    <row r="16" spans="1:12">
      <c r="A16" s="1">
        <v>2015</v>
      </c>
      <c r="B16" s="1" t="s">
        <v>41</v>
      </c>
      <c r="C16" s="1" t="s">
        <v>48</v>
      </c>
      <c r="D16" s="1" t="s">
        <v>27</v>
      </c>
      <c r="E16" s="1">
        <v>950</v>
      </c>
      <c r="F16" s="3">
        <v>46037</v>
      </c>
      <c r="G16" s="1" cm="1">
        <f t="array" ref="G16">INDEX(E16:E35,MATCH(1,(D16:D35="Aarav Pandey")*(MONTH(F16:F35)=1),0))</f>
        <v>950</v>
      </c>
    </row>
    <row r="17" spans="1:7">
      <c r="A17" s="1">
        <v>2016</v>
      </c>
      <c r="B17" s="1" t="s">
        <v>42</v>
      </c>
      <c r="C17" s="1" t="s">
        <v>47</v>
      </c>
      <c r="D17" s="1" t="s">
        <v>28</v>
      </c>
      <c r="E17" s="1">
        <v>1000</v>
      </c>
      <c r="F17" s="3">
        <v>46038</v>
      </c>
      <c r="G17" s="1" cm="1">
        <f t="array" ref="G17">INDEX(E17:E36,MATCH(1,(D17:D36="Dhaval Prajapati")*(MONTH(F17:F36)=1),0))</f>
        <v>1000</v>
      </c>
    </row>
    <row r="18" spans="1:7">
      <c r="A18" s="1">
        <v>2017</v>
      </c>
      <c r="B18" s="1" t="s">
        <v>43</v>
      </c>
      <c r="C18" s="1" t="s">
        <v>46</v>
      </c>
      <c r="D18" s="1" t="s">
        <v>29</v>
      </c>
      <c r="E18" s="1">
        <v>6000</v>
      </c>
      <c r="F18" s="3">
        <v>46039</v>
      </c>
      <c r="G18" s="1" cm="1">
        <f t="array" ref="G18">INDEX(E18:E37,MATCH(1,(D18:D37="Yogesh Prajapati")*(MONTH(F18:F37)=1),0))</f>
        <v>6000</v>
      </c>
    </row>
    <row r="19" spans="1:7">
      <c r="A19" s="1">
        <v>2018</v>
      </c>
      <c r="B19" s="1" t="s">
        <v>43</v>
      </c>
      <c r="C19" s="1" t="s">
        <v>47</v>
      </c>
      <c r="D19" s="1" t="s">
        <v>30</v>
      </c>
      <c r="E19" s="1">
        <v>6000</v>
      </c>
      <c r="F19" s="3">
        <v>46040</v>
      </c>
      <c r="G19" s="1" cm="1">
        <f t="array" ref="G19">INDEX(E19:E38,MATCH(1,(D19:D38="Mahesh Chaubey")*(MONTH(F19:F38)=1),0))</f>
        <v>6000</v>
      </c>
    </row>
    <row r="20" spans="1:7">
      <c r="A20" s="1">
        <v>2019</v>
      </c>
      <c r="B20" s="1" t="s">
        <v>44</v>
      </c>
      <c r="C20" s="1" t="s">
        <v>48</v>
      </c>
      <c r="D20" s="1" t="s">
        <v>31</v>
      </c>
      <c r="E20" s="1">
        <v>100000</v>
      </c>
      <c r="F20" s="3">
        <v>46041</v>
      </c>
      <c r="G20" s="1" cm="1">
        <f t="array" ref="G20">INDEX(E20:E39,MATCH(1,(D20:D39="Sarish Kharwar")*(MONTH(F20:F39)=1),0))</f>
        <v>100000</v>
      </c>
    </row>
    <row r="21" spans="1:7">
      <c r="A21" s="1">
        <v>2020</v>
      </c>
      <c r="B21" s="1" t="s">
        <v>45</v>
      </c>
      <c r="C21" s="1" t="s">
        <v>46</v>
      </c>
      <c r="D21" s="1" t="s">
        <v>32</v>
      </c>
      <c r="E21" s="1">
        <v>10000</v>
      </c>
      <c r="F21" s="3">
        <v>46032</v>
      </c>
      <c r="G21" s="1" cm="1">
        <f t="array" ref="G21">INDEX(E21:E40,MATCH(1,(D21:D40="Sarvesh Mishra")*(MONTH(F21:F40)=1),0))</f>
        <v>10000</v>
      </c>
    </row>
    <row r="22" spans="1:7">
      <c r="F22" s="8"/>
    </row>
    <row r="23" spans="1:7">
      <c r="F23" s="8"/>
    </row>
  </sheetData>
  <pageMargins left="0.7" right="0.7" top="0.75" bottom="0.75" header="0.3" footer="0.3"/>
  <ignoredErrors>
    <ignoredError sqref="G4:G2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E5488-88D8-4D5C-AD94-BD97C6704A8C}">
  <dimension ref="A1:P23"/>
  <sheetViews>
    <sheetView tabSelected="1" topLeftCell="H1" zoomScale="84" workbookViewId="0">
      <selection activeCell="Q18" sqref="Q18"/>
    </sheetView>
  </sheetViews>
  <sheetFormatPr defaultRowHeight="14.4"/>
  <cols>
    <col min="1" max="1" width="18.33203125" customWidth="1"/>
    <col min="2" max="2" width="22.6640625" customWidth="1"/>
    <col min="3" max="3" width="12.33203125" customWidth="1"/>
    <col min="4" max="4" width="17.5546875" customWidth="1"/>
    <col min="5" max="5" width="24.109375" customWidth="1"/>
    <col min="6" max="6" width="27.88671875" customWidth="1"/>
    <col min="7" max="7" width="18.77734375" customWidth="1"/>
    <col min="8" max="8" width="32.21875" customWidth="1"/>
    <col min="9" max="9" width="23" customWidth="1"/>
    <col min="10" max="10" width="35.77734375" customWidth="1"/>
    <col min="11" max="11" width="28" customWidth="1"/>
    <col min="12" max="12" width="12.88671875" customWidth="1"/>
    <col min="14" max="14" width="13.21875" customWidth="1"/>
    <col min="16" max="16" width="26.109375" customWidth="1"/>
  </cols>
  <sheetData>
    <row r="1" spans="1:16" ht="15.6">
      <c r="A1" s="18" t="s">
        <v>54</v>
      </c>
      <c r="B1" s="18" t="s">
        <v>1</v>
      </c>
      <c r="C1" s="18" t="s">
        <v>55</v>
      </c>
      <c r="D1" s="18" t="s">
        <v>56</v>
      </c>
      <c r="E1" s="18" t="s">
        <v>57</v>
      </c>
      <c r="F1" s="18" t="s">
        <v>62</v>
      </c>
      <c r="G1" s="19" t="s">
        <v>63</v>
      </c>
      <c r="H1" s="20" t="s">
        <v>64</v>
      </c>
      <c r="I1" s="19" t="s">
        <v>65</v>
      </c>
      <c r="J1" s="19" t="s">
        <v>68</v>
      </c>
      <c r="K1" s="19" t="s">
        <v>66</v>
      </c>
      <c r="L1" s="29" t="s">
        <v>112</v>
      </c>
      <c r="M1" s="29" t="s">
        <v>113</v>
      </c>
      <c r="N1" s="19" t="s">
        <v>114</v>
      </c>
    </row>
    <row r="2" spans="1:16" ht="15.6">
      <c r="A2" s="14">
        <v>3001</v>
      </c>
      <c r="B2" s="11" t="s">
        <v>13</v>
      </c>
      <c r="C2" s="14" t="s">
        <v>59</v>
      </c>
      <c r="D2" s="15">
        <v>80000</v>
      </c>
      <c r="E2" s="16">
        <v>45292</v>
      </c>
      <c r="F2" s="11" t="str">
        <f>UPPER(B2)</f>
        <v>ANURADHA PRAJAPATI</v>
      </c>
      <c r="G2" s="11" t="str">
        <f>LOWER(B2)</f>
        <v>anuradha prajapati</v>
      </c>
      <c r="H2" s="11">
        <f ca="1">DATEDIF(E2,TODAY(),"Y")</f>
        <v>2</v>
      </c>
      <c r="I2" s="11">
        <f ca="1">TODAY()-E2</f>
        <v>863</v>
      </c>
      <c r="J2" s="11">
        <f>_xlfn.XLOOKUP(3001,A2:A26,D2:D26)</f>
        <v>80000</v>
      </c>
      <c r="K2" s="11" t="str">
        <f>INDEX(C2:C21,MATCH(3001,A2:A21,0))</f>
        <v>HR</v>
      </c>
      <c r="L2" s="28">
        <f>ROUND(D2,0)</f>
        <v>80000</v>
      </c>
      <c r="M2" s="22">
        <f>CEILING(D2,100)</f>
        <v>80000</v>
      </c>
      <c r="N2" s="22">
        <f>FLOOR(D2,100)</f>
        <v>80000</v>
      </c>
    </row>
    <row r="3" spans="1:16" ht="15.6">
      <c r="A3" s="14">
        <v>3002</v>
      </c>
      <c r="B3" s="11" t="s">
        <v>15</v>
      </c>
      <c r="C3" s="14" t="s">
        <v>60</v>
      </c>
      <c r="D3" s="15">
        <v>70000</v>
      </c>
      <c r="E3" s="16">
        <v>46034</v>
      </c>
      <c r="F3" s="11" t="str">
        <f t="shared" ref="F3:F23" si="0">UPPER(B3)</f>
        <v>YASHRAJ SHARMA</v>
      </c>
      <c r="G3" s="11" t="str">
        <f t="shared" ref="G3:G21" si="1">LOWER(B3)</f>
        <v>yashraj sharma</v>
      </c>
      <c r="H3" s="11">
        <f t="shared" ref="H3:H21" ca="1" si="2">DATEDIF(E3,TODAY(),"Y")</f>
        <v>0</v>
      </c>
      <c r="I3" s="11">
        <f t="shared" ref="I3:I21" ca="1" si="3">TODAY()-E3</f>
        <v>121</v>
      </c>
      <c r="J3" s="11">
        <f>_xlfn.XLOOKUP(3002,A3:A27,D3:D27)</f>
        <v>70000</v>
      </c>
      <c r="K3" s="11" t="str">
        <f>INDEX(C3:C22,MATCH(3002,A3:A22,0))</f>
        <v>IT</v>
      </c>
      <c r="L3" s="28">
        <f t="shared" ref="L3:L21" si="4">ROUND(D3,0)</f>
        <v>70000</v>
      </c>
      <c r="M3" s="22">
        <f t="shared" ref="M3:M21" si="5">CEILING(D3,100)</f>
        <v>70000</v>
      </c>
      <c r="N3" s="22">
        <f t="shared" ref="N3:N21" si="6">FLOOR(D3,100)</f>
        <v>70000</v>
      </c>
    </row>
    <row r="4" spans="1:16" ht="15.6">
      <c r="A4" s="14">
        <v>3003</v>
      </c>
      <c r="B4" s="11" t="s">
        <v>14</v>
      </c>
      <c r="C4" s="14" t="s">
        <v>59</v>
      </c>
      <c r="D4" s="15">
        <v>90000</v>
      </c>
      <c r="E4" s="16">
        <v>46025</v>
      </c>
      <c r="F4" s="11" t="str">
        <f t="shared" si="0"/>
        <v>PUNIT MISHRA</v>
      </c>
      <c r="G4" s="11" t="str">
        <f t="shared" si="1"/>
        <v>punit mishra</v>
      </c>
      <c r="H4" s="11">
        <f t="shared" ca="1" si="2"/>
        <v>0</v>
      </c>
      <c r="I4" s="11">
        <f t="shared" ca="1" si="3"/>
        <v>130</v>
      </c>
      <c r="J4" s="11">
        <f>_xlfn.XLOOKUP(3003,A4:A28,D4:D28)</f>
        <v>90000</v>
      </c>
      <c r="K4" s="11" t="str">
        <f>INDEX(C4:C23,MATCH(3003,A4:A23,0))</f>
        <v>HR</v>
      </c>
      <c r="L4" s="28">
        <f t="shared" si="4"/>
        <v>90000</v>
      </c>
      <c r="M4" s="22">
        <f t="shared" si="5"/>
        <v>90000</v>
      </c>
      <c r="N4" s="22">
        <f t="shared" si="6"/>
        <v>90000</v>
      </c>
      <c r="P4" s="13" t="s">
        <v>67</v>
      </c>
    </row>
    <row r="5" spans="1:16" ht="15.6">
      <c r="A5" s="14">
        <v>3004</v>
      </c>
      <c r="B5" s="11" t="s">
        <v>16</v>
      </c>
      <c r="C5" s="14" t="s">
        <v>58</v>
      </c>
      <c r="D5" s="15">
        <v>100000</v>
      </c>
      <c r="E5" s="16">
        <v>44565</v>
      </c>
      <c r="F5" s="11" t="str">
        <f t="shared" si="0"/>
        <v>AMIT MAHARANA</v>
      </c>
      <c r="G5" s="11" t="str">
        <f t="shared" si="1"/>
        <v>amit maharana</v>
      </c>
      <c r="H5" s="11">
        <f t="shared" ca="1" si="2"/>
        <v>4</v>
      </c>
      <c r="I5" s="11">
        <f t="shared" ca="1" si="3"/>
        <v>1590</v>
      </c>
      <c r="J5" s="11">
        <f>_xlfn.XLOOKUP(3004,A5:A29,D5:D29)</f>
        <v>100000</v>
      </c>
      <c r="K5" s="11" t="str">
        <f>INDEX(C5:C24,MATCH(3004,A5:A24,0))</f>
        <v>Finance</v>
      </c>
      <c r="L5" s="28">
        <f t="shared" si="4"/>
        <v>100000</v>
      </c>
      <c r="M5" s="22">
        <f t="shared" si="5"/>
        <v>100000</v>
      </c>
      <c r="N5" s="22">
        <f t="shared" si="6"/>
        <v>100000</v>
      </c>
      <c r="P5" s="10">
        <f ca="1">SUM(INDIRECT("D2:D5"))</f>
        <v>340000</v>
      </c>
    </row>
    <row r="6" spans="1:16" ht="15.6">
      <c r="A6" s="14">
        <v>3005</v>
      </c>
      <c r="B6" s="11" t="s">
        <v>17</v>
      </c>
      <c r="C6" s="14" t="s">
        <v>60</v>
      </c>
      <c r="D6" s="15">
        <v>70000</v>
      </c>
      <c r="E6" s="16">
        <v>46027</v>
      </c>
      <c r="F6" s="11" t="str">
        <f t="shared" si="0"/>
        <v>ABHIRAJ SHARMA</v>
      </c>
      <c r="G6" s="11" t="str">
        <f t="shared" si="1"/>
        <v>abhiraj sharma</v>
      </c>
      <c r="H6" s="11">
        <f t="shared" ca="1" si="2"/>
        <v>0</v>
      </c>
      <c r="I6" s="11">
        <f t="shared" ca="1" si="3"/>
        <v>128</v>
      </c>
      <c r="J6" s="11">
        <f>_xlfn.XLOOKUP(3005,A6:A30,D6:D30)</f>
        <v>70000</v>
      </c>
      <c r="K6" s="11" t="str">
        <f>INDEX(C6:C25,MATCH(3005,A6:A25,0))</f>
        <v>IT</v>
      </c>
      <c r="L6" s="28">
        <f t="shared" si="4"/>
        <v>70000</v>
      </c>
      <c r="M6" s="22">
        <f t="shared" si="5"/>
        <v>70000</v>
      </c>
      <c r="N6" s="22">
        <f t="shared" si="6"/>
        <v>70000</v>
      </c>
    </row>
    <row r="7" spans="1:16" ht="15.6">
      <c r="A7" s="14">
        <v>3006</v>
      </c>
      <c r="B7" s="11" t="s">
        <v>18</v>
      </c>
      <c r="C7" s="14" t="s">
        <v>60</v>
      </c>
      <c r="D7" s="15">
        <v>80000</v>
      </c>
      <c r="E7" s="16">
        <v>46046</v>
      </c>
      <c r="F7" s="11" t="str">
        <f t="shared" si="0"/>
        <v>VAIBHAVRAJ SHARMA</v>
      </c>
      <c r="G7" s="11" t="str">
        <f t="shared" si="1"/>
        <v>vaibhavraj sharma</v>
      </c>
      <c r="H7" s="11">
        <f t="shared" ca="1" si="2"/>
        <v>0</v>
      </c>
      <c r="I7" s="11">
        <f t="shared" ca="1" si="3"/>
        <v>109</v>
      </c>
      <c r="J7" s="11">
        <f>_xlfn.XLOOKUP(3006,A7:A31,D7:D31)</f>
        <v>80000</v>
      </c>
      <c r="K7" s="11" t="str">
        <f>INDEX(C7:C26,MATCH(3006,A7:A26,0))</f>
        <v>IT</v>
      </c>
      <c r="L7" s="28">
        <f t="shared" si="4"/>
        <v>80000</v>
      </c>
      <c r="M7" s="22">
        <f t="shared" si="5"/>
        <v>80000</v>
      </c>
      <c r="N7" s="22">
        <f t="shared" si="6"/>
        <v>80000</v>
      </c>
    </row>
    <row r="8" spans="1:16" ht="15.6">
      <c r="A8" s="14">
        <v>3007</v>
      </c>
      <c r="B8" s="11" t="s">
        <v>19</v>
      </c>
      <c r="C8" s="14" t="s">
        <v>61</v>
      </c>
      <c r="D8" s="15">
        <v>82666.666666666701</v>
      </c>
      <c r="E8" s="16">
        <v>44223</v>
      </c>
      <c r="F8" s="11" t="str">
        <f t="shared" si="0"/>
        <v>SUGAM PRADHAN</v>
      </c>
      <c r="G8" s="11" t="str">
        <f t="shared" si="1"/>
        <v>sugam pradhan</v>
      </c>
      <c r="H8" s="11">
        <f t="shared" ca="1" si="2"/>
        <v>5</v>
      </c>
      <c r="I8" s="11">
        <f t="shared" ca="1" si="3"/>
        <v>1932</v>
      </c>
      <c r="J8" s="17">
        <f>_xlfn.XLOOKUP(3007,A8:A32,D8:D32)</f>
        <v>82666.666666666701</v>
      </c>
      <c r="K8" s="11" t="str">
        <f>INDEX(C8:C27,MATCH(3007,A8:A27,0))</f>
        <v>Marketing</v>
      </c>
      <c r="L8" s="28">
        <f t="shared" si="4"/>
        <v>82667</v>
      </c>
      <c r="M8" s="22">
        <f t="shared" si="5"/>
        <v>82700</v>
      </c>
      <c r="N8" s="22">
        <f t="shared" si="6"/>
        <v>82600</v>
      </c>
    </row>
    <row r="9" spans="1:16" ht="15.6">
      <c r="A9" s="14">
        <v>3008</v>
      </c>
      <c r="B9" s="11" t="s">
        <v>20</v>
      </c>
      <c r="C9" s="14" t="s">
        <v>60</v>
      </c>
      <c r="D9" s="15">
        <v>82952.380952381005</v>
      </c>
      <c r="E9" s="16">
        <v>46040</v>
      </c>
      <c r="F9" s="11" t="str">
        <f t="shared" si="0"/>
        <v>PRABHAT PANDEY</v>
      </c>
      <c r="G9" s="11" t="str">
        <f t="shared" si="1"/>
        <v>prabhat pandey</v>
      </c>
      <c r="H9" s="11">
        <f t="shared" ca="1" si="2"/>
        <v>0</v>
      </c>
      <c r="I9" s="11">
        <f t="shared" ca="1" si="3"/>
        <v>115</v>
      </c>
      <c r="J9" s="17">
        <f>_xlfn.XLOOKUP(3008,A9:A33,D9:D33)</f>
        <v>82952.380952381005</v>
      </c>
      <c r="K9" s="11" t="str">
        <f>INDEX(C9:C28,MATCH(3008,A9:A28,0))</f>
        <v>IT</v>
      </c>
      <c r="L9" s="28">
        <f t="shared" si="4"/>
        <v>82952</v>
      </c>
      <c r="M9" s="22">
        <f t="shared" si="5"/>
        <v>83000</v>
      </c>
      <c r="N9" s="22">
        <f t="shared" si="6"/>
        <v>82900</v>
      </c>
    </row>
    <row r="10" spans="1:16" ht="15.6">
      <c r="A10" s="14">
        <v>3009</v>
      </c>
      <c r="B10" s="11" t="s">
        <v>21</v>
      </c>
      <c r="C10" s="14" t="s">
        <v>60</v>
      </c>
      <c r="D10" s="15">
        <v>83238.095238095193</v>
      </c>
      <c r="E10" s="16">
        <v>46041</v>
      </c>
      <c r="F10" s="11" t="str">
        <f t="shared" si="0"/>
        <v>DEEPAK PASWAN</v>
      </c>
      <c r="G10" s="11" t="str">
        <f t="shared" si="1"/>
        <v>deepak paswan</v>
      </c>
      <c r="H10" s="11">
        <f t="shared" ca="1" si="2"/>
        <v>0</v>
      </c>
      <c r="I10" s="11">
        <f t="shared" ca="1" si="3"/>
        <v>114</v>
      </c>
      <c r="J10" s="17">
        <f>_xlfn.XLOOKUP(3009,A10:A34,D10:D34)</f>
        <v>83238.095238095193</v>
      </c>
      <c r="K10" s="11" t="str">
        <f>INDEX(C10:C29,MATCH(3009,A10:A29,0))</f>
        <v>IT</v>
      </c>
      <c r="L10" s="28">
        <f t="shared" si="4"/>
        <v>83238</v>
      </c>
      <c r="M10" s="22">
        <f t="shared" si="5"/>
        <v>83300</v>
      </c>
      <c r="N10" s="22">
        <f t="shared" si="6"/>
        <v>83200</v>
      </c>
    </row>
    <row r="11" spans="1:16" ht="15.6">
      <c r="A11" s="14">
        <v>3010</v>
      </c>
      <c r="B11" s="11" t="s">
        <v>22</v>
      </c>
      <c r="C11" s="14" t="s">
        <v>59</v>
      </c>
      <c r="D11" s="15">
        <v>83523.809523809497</v>
      </c>
      <c r="E11" s="16">
        <v>46032</v>
      </c>
      <c r="F11" s="11" t="str">
        <f t="shared" si="0"/>
        <v>KESHAV SINGH</v>
      </c>
      <c r="G11" s="11" t="str">
        <f t="shared" si="1"/>
        <v>keshav singh</v>
      </c>
      <c r="H11" s="11">
        <f t="shared" ca="1" si="2"/>
        <v>0</v>
      </c>
      <c r="I11" s="11">
        <f t="shared" ca="1" si="3"/>
        <v>123</v>
      </c>
      <c r="J11" s="17">
        <f>_xlfn.XLOOKUP(3010,A11:A35,D11:D35)</f>
        <v>83523.809523809497</v>
      </c>
      <c r="K11" s="11" t="str">
        <f>INDEX(C11:C30,MATCH(3010,A11:A30,0))</f>
        <v>HR</v>
      </c>
      <c r="L11" s="28">
        <f t="shared" si="4"/>
        <v>83524</v>
      </c>
      <c r="M11" s="22">
        <f t="shared" si="5"/>
        <v>83600</v>
      </c>
      <c r="N11" s="22">
        <f t="shared" si="6"/>
        <v>83500</v>
      </c>
    </row>
    <row r="12" spans="1:16" ht="15.6">
      <c r="A12" s="14">
        <v>3011</v>
      </c>
      <c r="B12" s="11" t="s">
        <v>23</v>
      </c>
      <c r="C12" s="14" t="s">
        <v>58</v>
      </c>
      <c r="D12" s="15">
        <v>83809.523809523802</v>
      </c>
      <c r="E12" s="16">
        <v>46033</v>
      </c>
      <c r="F12" s="11" t="str">
        <f t="shared" si="0"/>
        <v>KASHYAP VERMA</v>
      </c>
      <c r="G12" s="11" t="str">
        <f t="shared" si="1"/>
        <v>kashyap verma</v>
      </c>
      <c r="H12" s="11">
        <f t="shared" ca="1" si="2"/>
        <v>0</v>
      </c>
      <c r="I12" s="11">
        <f t="shared" ca="1" si="3"/>
        <v>122</v>
      </c>
      <c r="J12" s="17">
        <f>_xlfn.XLOOKUP(3011,A12:A36,D12:D36)</f>
        <v>83809.523809523802</v>
      </c>
      <c r="K12" s="11" t="str">
        <f>INDEX(C12:C31,MATCH(3011,A12:A31,0))</f>
        <v>Finance</v>
      </c>
      <c r="L12" s="28">
        <f t="shared" si="4"/>
        <v>83810</v>
      </c>
      <c r="M12" s="22">
        <f t="shared" si="5"/>
        <v>83900</v>
      </c>
      <c r="N12" s="22">
        <f t="shared" si="6"/>
        <v>83800</v>
      </c>
    </row>
    <row r="13" spans="1:16" ht="15.6">
      <c r="A13" s="14">
        <v>3012</v>
      </c>
      <c r="B13" s="11" t="s">
        <v>24</v>
      </c>
      <c r="C13" s="14" t="s">
        <v>58</v>
      </c>
      <c r="D13" s="15">
        <v>84095.238095238106</v>
      </c>
      <c r="E13" s="16">
        <v>44573</v>
      </c>
      <c r="F13" s="11" t="str">
        <f t="shared" si="0"/>
        <v>VIRAT KOHLI</v>
      </c>
      <c r="G13" s="11" t="str">
        <f t="shared" si="1"/>
        <v>virat kohli</v>
      </c>
      <c r="H13" s="11">
        <f t="shared" ca="1" si="2"/>
        <v>4</v>
      </c>
      <c r="I13" s="11">
        <f t="shared" ca="1" si="3"/>
        <v>1582</v>
      </c>
      <c r="J13" s="17">
        <f>_xlfn.XLOOKUP(3012,A13:A37,D13:D37)</f>
        <v>84095.238095238106</v>
      </c>
      <c r="K13" s="11" t="str">
        <f>INDEX(C13:C32,MATCH(3012,A13:A32,0))</f>
        <v>Finance</v>
      </c>
      <c r="L13" s="28">
        <f t="shared" si="4"/>
        <v>84095</v>
      </c>
      <c r="M13" s="22">
        <f t="shared" si="5"/>
        <v>84100</v>
      </c>
      <c r="N13" s="22">
        <f t="shared" si="6"/>
        <v>84000</v>
      </c>
    </row>
    <row r="14" spans="1:16" ht="15.6">
      <c r="A14" s="14">
        <v>3013</v>
      </c>
      <c r="B14" s="11" t="s">
        <v>25</v>
      </c>
      <c r="C14" s="14" t="s">
        <v>59</v>
      </c>
      <c r="D14" s="15">
        <v>84380.952380952396</v>
      </c>
      <c r="E14" s="16">
        <v>46035</v>
      </c>
      <c r="F14" s="11" t="str">
        <f t="shared" si="0"/>
        <v>MRUNAL THAKUR</v>
      </c>
      <c r="G14" s="11" t="str">
        <f t="shared" si="1"/>
        <v>mrunal thakur</v>
      </c>
      <c r="H14" s="11">
        <f t="shared" ca="1" si="2"/>
        <v>0</v>
      </c>
      <c r="I14" s="11">
        <f t="shared" ca="1" si="3"/>
        <v>120</v>
      </c>
      <c r="J14" s="17">
        <f>_xlfn.XLOOKUP(3013,A14:A38,D14:D38)</f>
        <v>84380.952380952396</v>
      </c>
      <c r="K14" s="11" t="str">
        <f>INDEX(C14:C33,MATCH(3013,A14:A33,0))</f>
        <v>HR</v>
      </c>
      <c r="L14" s="28">
        <f t="shared" si="4"/>
        <v>84381</v>
      </c>
      <c r="M14" s="22">
        <f t="shared" si="5"/>
        <v>84400</v>
      </c>
      <c r="N14" s="22">
        <f t="shared" si="6"/>
        <v>84300</v>
      </c>
    </row>
    <row r="15" spans="1:16" ht="15.6">
      <c r="A15" s="14">
        <v>3014</v>
      </c>
      <c r="B15" s="11" t="s">
        <v>26</v>
      </c>
      <c r="C15" s="14" t="s">
        <v>59</v>
      </c>
      <c r="D15" s="15">
        <v>84666.666666666701</v>
      </c>
      <c r="E15" s="16">
        <v>45305</v>
      </c>
      <c r="F15" s="11" t="str">
        <f t="shared" si="0"/>
        <v>SADGI PANDEY</v>
      </c>
      <c r="G15" s="11" t="str">
        <f t="shared" si="1"/>
        <v>sadgi pandey</v>
      </c>
      <c r="H15" s="11">
        <f t="shared" ca="1" si="2"/>
        <v>2</v>
      </c>
      <c r="I15" s="11">
        <f t="shared" ca="1" si="3"/>
        <v>850</v>
      </c>
      <c r="J15" s="17">
        <f>_xlfn.XLOOKUP(3014,A15:A39,D15:D39)</f>
        <v>84666.666666666701</v>
      </c>
      <c r="K15" s="11" t="str">
        <f>INDEX(C15:C34,MATCH(3014,A15:A34,0))</f>
        <v>HR</v>
      </c>
      <c r="L15" s="28">
        <f t="shared" si="4"/>
        <v>84667</v>
      </c>
      <c r="M15" s="22">
        <f t="shared" si="5"/>
        <v>84700</v>
      </c>
      <c r="N15" s="22">
        <f t="shared" si="6"/>
        <v>84600</v>
      </c>
    </row>
    <row r="16" spans="1:16" ht="15.6">
      <c r="A16" s="14">
        <v>3015</v>
      </c>
      <c r="B16" s="11" t="s">
        <v>27</v>
      </c>
      <c r="C16" s="14" t="s">
        <v>59</v>
      </c>
      <c r="D16" s="15">
        <v>84952.380952380903</v>
      </c>
      <c r="E16" s="16">
        <v>46037</v>
      </c>
      <c r="F16" s="11" t="str">
        <f t="shared" si="0"/>
        <v>AARAV PANDEY</v>
      </c>
      <c r="G16" s="11" t="str">
        <f t="shared" si="1"/>
        <v>aarav pandey</v>
      </c>
      <c r="H16" s="11">
        <f t="shared" ca="1" si="2"/>
        <v>0</v>
      </c>
      <c r="I16" s="11">
        <f t="shared" ca="1" si="3"/>
        <v>118</v>
      </c>
      <c r="J16" s="17">
        <f>_xlfn.XLOOKUP(3015,A16:A40,D16:D40)</f>
        <v>84952.380952380903</v>
      </c>
      <c r="K16" s="11" t="str">
        <f>INDEX(C16:C35,MATCH(3015,A16:A35,0))</f>
        <v>HR</v>
      </c>
      <c r="L16" s="28">
        <f t="shared" si="4"/>
        <v>84952</v>
      </c>
      <c r="M16" s="22">
        <f t="shared" si="5"/>
        <v>85000</v>
      </c>
      <c r="N16" s="22">
        <f t="shared" si="6"/>
        <v>84900</v>
      </c>
    </row>
    <row r="17" spans="1:14" ht="15.6">
      <c r="A17" s="14">
        <v>3016</v>
      </c>
      <c r="B17" s="11" t="s">
        <v>28</v>
      </c>
      <c r="C17" s="14" t="s">
        <v>58</v>
      </c>
      <c r="D17" s="15">
        <v>85238.095238095193</v>
      </c>
      <c r="E17" s="16">
        <v>46038</v>
      </c>
      <c r="F17" s="11" t="str">
        <f t="shared" si="0"/>
        <v>DHAVAL PRAJAPATI</v>
      </c>
      <c r="G17" s="11" t="str">
        <f t="shared" si="1"/>
        <v>dhaval prajapati</v>
      </c>
      <c r="H17" s="11">
        <f t="shared" ca="1" si="2"/>
        <v>0</v>
      </c>
      <c r="I17" s="11">
        <f t="shared" ca="1" si="3"/>
        <v>117</v>
      </c>
      <c r="J17" s="17">
        <f>_xlfn.XLOOKUP(3016,A17:A41,D17:D41)</f>
        <v>85238.095238095193</v>
      </c>
      <c r="K17" s="11" t="str">
        <f>INDEX(C17:C36,MATCH(3016,A17:A36,0))</f>
        <v>Finance</v>
      </c>
      <c r="L17" s="28">
        <f t="shared" si="4"/>
        <v>85238</v>
      </c>
      <c r="M17" s="22">
        <f t="shared" si="5"/>
        <v>85300</v>
      </c>
      <c r="N17" s="22">
        <f t="shared" si="6"/>
        <v>85200</v>
      </c>
    </row>
    <row r="18" spans="1:14" ht="15.6">
      <c r="A18" s="14">
        <v>3017</v>
      </c>
      <c r="B18" s="11" t="s">
        <v>29</v>
      </c>
      <c r="C18" s="14" t="s">
        <v>59</v>
      </c>
      <c r="D18" s="15">
        <v>85523.809523809497</v>
      </c>
      <c r="E18" s="16">
        <v>46039</v>
      </c>
      <c r="F18" s="11" t="str">
        <f t="shared" si="0"/>
        <v>YOGESH PRAJAPATI</v>
      </c>
      <c r="G18" s="11" t="str">
        <f t="shared" si="1"/>
        <v>yogesh prajapati</v>
      </c>
      <c r="H18" s="11">
        <f t="shared" ca="1" si="2"/>
        <v>0</v>
      </c>
      <c r="I18" s="11">
        <f t="shared" ca="1" si="3"/>
        <v>116</v>
      </c>
      <c r="J18" s="17">
        <f>_xlfn.XLOOKUP(3017,A18:A42,D18:D42)</f>
        <v>85523.809523809497</v>
      </c>
      <c r="K18" s="11" t="str">
        <f>INDEX(C18:C37,MATCH(3017,A18:A37,0))</f>
        <v>HR</v>
      </c>
      <c r="L18" s="28">
        <f t="shared" si="4"/>
        <v>85524</v>
      </c>
      <c r="M18" s="22">
        <f t="shared" si="5"/>
        <v>85600</v>
      </c>
      <c r="N18" s="22">
        <f t="shared" si="6"/>
        <v>85500</v>
      </c>
    </row>
    <row r="19" spans="1:14" ht="15.6">
      <c r="A19" s="14">
        <v>3018</v>
      </c>
      <c r="B19" s="11" t="s">
        <v>30</v>
      </c>
      <c r="C19" s="14" t="s">
        <v>60</v>
      </c>
      <c r="D19" s="15">
        <v>85809.523809523802</v>
      </c>
      <c r="E19" s="16">
        <v>46040</v>
      </c>
      <c r="F19" s="11" t="str">
        <f t="shared" si="0"/>
        <v>MAHESH CHAUBEY</v>
      </c>
      <c r="G19" s="11" t="str">
        <f t="shared" si="1"/>
        <v>mahesh chaubey</v>
      </c>
      <c r="H19" s="11">
        <f t="shared" ca="1" si="2"/>
        <v>0</v>
      </c>
      <c r="I19" s="11">
        <f t="shared" ca="1" si="3"/>
        <v>115</v>
      </c>
      <c r="J19" s="17">
        <f>_xlfn.XLOOKUP(3018,A19:A43,D19:D43)</f>
        <v>85809.523809523802</v>
      </c>
      <c r="K19" s="11" t="str">
        <f>INDEX(C19:C38,MATCH(3018,A19:A38,0))</f>
        <v>IT</v>
      </c>
      <c r="L19" s="28">
        <f t="shared" si="4"/>
        <v>85810</v>
      </c>
      <c r="M19" s="22">
        <f t="shared" si="5"/>
        <v>85900</v>
      </c>
      <c r="N19" s="22">
        <f t="shared" si="6"/>
        <v>85800</v>
      </c>
    </row>
    <row r="20" spans="1:14" ht="15.6">
      <c r="A20" s="14">
        <v>3019</v>
      </c>
      <c r="B20" s="11" t="s">
        <v>31</v>
      </c>
      <c r="C20" s="14" t="s">
        <v>61</v>
      </c>
      <c r="D20" s="15">
        <v>86095.238095238106</v>
      </c>
      <c r="E20" s="16">
        <v>46041</v>
      </c>
      <c r="F20" s="11" t="str">
        <f t="shared" si="0"/>
        <v>SARISH KHARWAR</v>
      </c>
      <c r="G20" s="11" t="str">
        <f t="shared" si="1"/>
        <v>sarish kharwar</v>
      </c>
      <c r="H20" s="11">
        <f t="shared" ca="1" si="2"/>
        <v>0</v>
      </c>
      <c r="I20" s="11">
        <f t="shared" ca="1" si="3"/>
        <v>114</v>
      </c>
      <c r="J20" s="17">
        <f>_xlfn.XLOOKUP(3019,A20:A44,D20:D44)</f>
        <v>86095.238095238106</v>
      </c>
      <c r="K20" s="11" t="str">
        <f>INDEX(C20:C39,MATCH(3019,A20:A39,0))</f>
        <v>Marketing</v>
      </c>
      <c r="L20" s="28">
        <f t="shared" si="4"/>
        <v>86095</v>
      </c>
      <c r="M20" s="22">
        <f t="shared" si="5"/>
        <v>86100</v>
      </c>
      <c r="N20" s="22">
        <f t="shared" si="6"/>
        <v>86000</v>
      </c>
    </row>
    <row r="21" spans="1:14" ht="15.6">
      <c r="A21" s="14">
        <v>3020</v>
      </c>
      <c r="B21" s="11" t="s">
        <v>32</v>
      </c>
      <c r="C21" s="14" t="s">
        <v>61</v>
      </c>
      <c r="D21" s="15">
        <v>86380.952380952396</v>
      </c>
      <c r="E21" s="16">
        <v>46032</v>
      </c>
      <c r="F21" s="11" t="str">
        <f t="shared" si="0"/>
        <v>SARVESH MISHRA</v>
      </c>
      <c r="G21" s="11" t="str">
        <f t="shared" si="1"/>
        <v>sarvesh mishra</v>
      </c>
      <c r="H21" s="11">
        <f t="shared" ca="1" si="2"/>
        <v>0</v>
      </c>
      <c r="I21" s="11">
        <f t="shared" ca="1" si="3"/>
        <v>123</v>
      </c>
      <c r="J21" s="17">
        <f>_xlfn.XLOOKUP(3020,A21:A45,D21:D45)</f>
        <v>86380.952380952396</v>
      </c>
      <c r="K21" s="11" t="str">
        <f>INDEX(C21:C40,MATCH(3020,A21:A40,0))</f>
        <v>Marketing</v>
      </c>
      <c r="L21" s="28">
        <f t="shared" si="4"/>
        <v>86381</v>
      </c>
      <c r="M21" s="22">
        <f t="shared" si="5"/>
        <v>86400</v>
      </c>
      <c r="N21" s="22">
        <f t="shared" si="6"/>
        <v>86300</v>
      </c>
    </row>
    <row r="22" spans="1:14" ht="15.6">
      <c r="A22" s="12"/>
      <c r="B22" s="12"/>
      <c r="C22" s="12"/>
      <c r="D22" s="12"/>
      <c r="E22" s="12"/>
      <c r="F22" s="12" t="str">
        <f t="shared" si="0"/>
        <v/>
      </c>
      <c r="G22" s="12"/>
      <c r="H22" s="12"/>
      <c r="I22" s="12"/>
      <c r="J22" s="12"/>
    </row>
    <row r="23" spans="1:14" ht="15.6">
      <c r="A23" s="12"/>
      <c r="B23" s="12"/>
      <c r="C23" s="12"/>
      <c r="D23" s="12"/>
      <c r="E23" s="12"/>
      <c r="F23" s="12" t="str">
        <f t="shared" si="0"/>
        <v/>
      </c>
      <c r="G23" s="12"/>
      <c r="H23" s="12"/>
      <c r="I23" s="12"/>
      <c r="J23" s="12"/>
    </row>
  </sheetData>
  <pageMargins left="0.7" right="0.7" top="0.75" bottom="0.75" header="0.3" footer="0.3"/>
  <ignoredErrors>
    <ignoredError sqref="J3:J21 K3:K21"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vt:lpstr>
      <vt:lpstr>Sales</vt:lpstr>
      <vt:lpstr>Employees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unsharma07@gmail.com</dc:creator>
  <cp:lastModifiedBy>unsharma07@gmail.com</cp:lastModifiedBy>
  <dcterms:created xsi:type="dcterms:W3CDTF">2026-05-12T06:27:45Z</dcterms:created>
  <dcterms:modified xsi:type="dcterms:W3CDTF">2026-05-13T10:59:35Z</dcterms:modified>
</cp:coreProperties>
</file>